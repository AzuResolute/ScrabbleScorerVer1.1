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ger\source\repos\ScrabbleScorerV1.1.0\ScrabbleScorerV1.1.0\"/>
    </mc:Choice>
  </mc:AlternateContent>
  <xr:revisionPtr revIDLastSave="0" documentId="13_ncr:1_{07C89E62-CE93-495C-AC52-8463DF5919CC}" xr6:coauthVersionLast="36" xr6:coauthVersionMax="36" xr10:uidLastSave="{00000000-0000-0000-0000-000000000000}"/>
  <bookViews>
    <workbookView xWindow="0" yWindow="0" windowWidth="23040" windowHeight="8784" xr2:uid="{A4097F30-044F-4CA7-89F4-2FF241F2A1BC}"/>
  </bookViews>
  <sheets>
    <sheet name="Template" sheetId="2" r:id="rId1"/>
    <sheet name="Data" sheetId="3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38" i="3" l="1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M2" i="2"/>
  <c r="U2" i="2" l="1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V122" i="2" l="1"/>
  <c r="AA122" i="2" s="1"/>
  <c r="V123" i="2"/>
  <c r="AB123" i="2" s="1"/>
  <c r="V34" i="2"/>
  <c r="V50" i="2"/>
  <c r="Z50" i="2" s="1"/>
  <c r="V70" i="2"/>
  <c r="AA70" i="2" s="1"/>
  <c r="V18" i="2"/>
  <c r="V92" i="2"/>
  <c r="Z92" i="2" s="1"/>
  <c r="V102" i="2"/>
  <c r="AA102" i="2" s="1"/>
  <c r="V6" i="2"/>
  <c r="V22" i="2"/>
  <c r="V38" i="2"/>
  <c r="V52" i="2"/>
  <c r="AB52" i="2" s="1"/>
  <c r="V74" i="2"/>
  <c r="AA74" i="2" s="1"/>
  <c r="V93" i="2"/>
  <c r="Z93" i="2" s="1"/>
  <c r="V106" i="2"/>
  <c r="AA106" i="2" s="1"/>
  <c r="V10" i="2"/>
  <c r="V26" i="2"/>
  <c r="V42" i="2"/>
  <c r="Z42" i="2" s="1"/>
  <c r="V57" i="2"/>
  <c r="AA57" i="2" s="1"/>
  <c r="V81" i="2"/>
  <c r="Z81" i="2" s="1"/>
  <c r="V95" i="2"/>
  <c r="AB95" i="2" s="1"/>
  <c r="V113" i="2"/>
  <c r="Z113" i="2" s="1"/>
  <c r="V14" i="2"/>
  <c r="V30" i="2"/>
  <c r="V44" i="2"/>
  <c r="AB44" i="2" s="1"/>
  <c r="V67" i="2"/>
  <c r="AB67" i="2" s="1"/>
  <c r="V88" i="2"/>
  <c r="Z88" i="2" s="1"/>
  <c r="V99" i="2"/>
  <c r="AB99" i="2" s="1"/>
  <c r="V120" i="2"/>
  <c r="Z120" i="2" s="1"/>
  <c r="V7" i="2"/>
  <c r="V11" i="2"/>
  <c r="V15" i="2"/>
  <c r="V19" i="2"/>
  <c r="V23" i="2"/>
  <c r="V27" i="2"/>
  <c r="V31" i="2"/>
  <c r="V35" i="2"/>
  <c r="V39" i="2"/>
  <c r="V45" i="2"/>
  <c r="AA45" i="2" s="1"/>
  <c r="V47" i="2"/>
  <c r="AA47" i="2" s="1"/>
  <c r="V53" i="2"/>
  <c r="Z53" i="2" s="1"/>
  <c r="V59" i="2"/>
  <c r="AA59" i="2" s="1"/>
  <c r="V62" i="2"/>
  <c r="AB62" i="2" s="1"/>
  <c r="V63" i="2"/>
  <c r="AA63" i="2" s="1"/>
  <c r="V66" i="2"/>
  <c r="AB66" i="2" s="1"/>
  <c r="V68" i="2"/>
  <c r="AB68" i="2" s="1"/>
  <c r="V69" i="2"/>
  <c r="W69" i="2" s="1"/>
  <c r="V71" i="2"/>
  <c r="X71" i="2" s="1"/>
  <c r="Y71" i="2" s="1"/>
  <c r="U71" i="2" s="1"/>
  <c r="V75" i="2"/>
  <c r="W75" i="2" s="1"/>
  <c r="V78" i="2"/>
  <c r="AA78" i="2" s="1"/>
  <c r="V82" i="2"/>
  <c r="AA82" i="2" s="1"/>
  <c r="V89" i="2"/>
  <c r="Z89" i="2" s="1"/>
  <c r="V96" i="2"/>
  <c r="Z96" i="2" s="1"/>
  <c r="V100" i="2"/>
  <c r="AB100" i="2" s="1"/>
  <c r="V101" i="2"/>
  <c r="AA101" i="2" s="1"/>
  <c r="V103" i="2"/>
  <c r="AB103" i="2" s="1"/>
  <c r="V107" i="2"/>
  <c r="AB107" i="2" s="1"/>
  <c r="V110" i="2"/>
  <c r="AA110" i="2" s="1"/>
  <c r="V114" i="2"/>
  <c r="AA114" i="2" s="1"/>
  <c r="V4" i="2"/>
  <c r="V8" i="2"/>
  <c r="V12" i="2"/>
  <c r="V16" i="2"/>
  <c r="V20" i="2"/>
  <c r="V24" i="2"/>
  <c r="V28" i="2"/>
  <c r="V32" i="2"/>
  <c r="V36" i="2"/>
  <c r="V40" i="2"/>
  <c r="V46" i="2"/>
  <c r="V48" i="2"/>
  <c r="AB48" i="2" s="1"/>
  <c r="V55" i="2"/>
  <c r="AA55" i="2" s="1"/>
  <c r="V58" i="2"/>
  <c r="AB58" i="2" s="1"/>
  <c r="V60" i="2"/>
  <c r="AB60" i="2" s="1"/>
  <c r="V64" i="2"/>
  <c r="AB64" i="2" s="1"/>
  <c r="V72" i="2"/>
  <c r="Z72" i="2" s="1"/>
  <c r="V76" i="2"/>
  <c r="V77" i="2"/>
  <c r="AA77" i="2" s="1"/>
  <c r="V79" i="2"/>
  <c r="AB79" i="2" s="1"/>
  <c r="V83" i="2"/>
  <c r="AB83" i="2" s="1"/>
  <c r="V86" i="2"/>
  <c r="AA86" i="2" s="1"/>
  <c r="V90" i="2"/>
  <c r="AA90" i="2" s="1"/>
  <c r="V97" i="2"/>
  <c r="Z97" i="2" s="1"/>
  <c r="V104" i="2"/>
  <c r="Z104" i="2" s="1"/>
  <c r="V108" i="2"/>
  <c r="AB108" i="2" s="1"/>
  <c r="V109" i="2"/>
  <c r="AA109" i="2" s="1"/>
  <c r="V111" i="2"/>
  <c r="AB111" i="2" s="1"/>
  <c r="V115" i="2"/>
  <c r="AB115" i="2" s="1"/>
  <c r="V118" i="2"/>
  <c r="AA118" i="2" s="1"/>
  <c r="V121" i="2"/>
  <c r="Z121" i="2" s="1"/>
  <c r="V5" i="2"/>
  <c r="V9" i="2"/>
  <c r="V13" i="2"/>
  <c r="V17" i="2"/>
  <c r="V21" i="2"/>
  <c r="V25" i="2"/>
  <c r="V29" i="2"/>
  <c r="V33" i="2"/>
  <c r="V37" i="2"/>
  <c r="V41" i="2"/>
  <c r="AA41" i="2" s="1"/>
  <c r="V43" i="2"/>
  <c r="AA43" i="2" s="1"/>
  <c r="V49" i="2"/>
  <c r="AA49" i="2" s="1"/>
  <c r="V51" i="2"/>
  <c r="AA51" i="2" s="1"/>
  <c r="V54" i="2"/>
  <c r="AB54" i="2" s="1"/>
  <c r="V56" i="2"/>
  <c r="AB56" i="2" s="1"/>
  <c r="V61" i="2"/>
  <c r="AB61" i="2" s="1"/>
  <c r="V65" i="2"/>
  <c r="Z65" i="2" s="1"/>
  <c r="V73" i="2"/>
  <c r="Z73" i="2" s="1"/>
  <c r="V80" i="2"/>
  <c r="Z80" i="2" s="1"/>
  <c r="V84" i="2"/>
  <c r="AB84" i="2" s="1"/>
  <c r="V85" i="2"/>
  <c r="W85" i="2" s="1"/>
  <c r="V87" i="2"/>
  <c r="AB87" i="2" s="1"/>
  <c r="V91" i="2"/>
  <c r="AB91" i="2" s="1"/>
  <c r="V94" i="2"/>
  <c r="AA94" i="2" s="1"/>
  <c r="V98" i="2"/>
  <c r="AA98" i="2" s="1"/>
  <c r="V105" i="2"/>
  <c r="Z105" i="2" s="1"/>
  <c r="V112" i="2"/>
  <c r="Z112" i="2" s="1"/>
  <c r="V116" i="2"/>
  <c r="V117" i="2"/>
  <c r="W117" i="2" s="1"/>
  <c r="V119" i="2"/>
  <c r="AB119" i="2" s="1"/>
  <c r="X122" i="2"/>
  <c r="Y122" i="2" s="1"/>
  <c r="U122" i="2" s="1"/>
  <c r="AA123" i="2"/>
  <c r="N4" i="2"/>
  <c r="Z122" i="2" l="1"/>
  <c r="W123" i="2"/>
  <c r="AA93" i="2"/>
  <c r="W122" i="2"/>
  <c r="AB122" i="2"/>
  <c r="X123" i="2"/>
  <c r="Y123" i="2" s="1"/>
  <c r="U123" i="2" s="1"/>
  <c r="AB88" i="2"/>
  <c r="AB92" i="2"/>
  <c r="W121" i="2"/>
  <c r="W57" i="2"/>
  <c r="X88" i="2"/>
  <c r="Y88" i="2" s="1"/>
  <c r="U88" i="2" s="1"/>
  <c r="Z106" i="2"/>
  <c r="AA113" i="2"/>
  <c r="AB57" i="2"/>
  <c r="W92" i="2"/>
  <c r="X103" i="2"/>
  <c r="Y103" i="2" s="1"/>
  <c r="U103" i="2" s="1"/>
  <c r="AA103" i="2"/>
  <c r="W64" i="2"/>
  <c r="Z103" i="2"/>
  <c r="X49" i="2"/>
  <c r="Y49" i="2" s="1"/>
  <c r="U49" i="2" s="1"/>
  <c r="AB41" i="2"/>
  <c r="Z64" i="2"/>
  <c r="W89" i="2"/>
  <c r="X57" i="2"/>
  <c r="Y57" i="2" s="1"/>
  <c r="U57" i="2" s="1"/>
  <c r="W101" i="2"/>
  <c r="X48" i="2"/>
  <c r="Y48" i="2" s="1"/>
  <c r="U48" i="2" s="1"/>
  <c r="W53" i="2"/>
  <c r="AB53" i="2"/>
  <c r="AB97" i="2"/>
  <c r="AA64" i="2"/>
  <c r="Z79" i="2"/>
  <c r="W63" i="2"/>
  <c r="AB89" i="2"/>
  <c r="AB59" i="2"/>
  <c r="W103" i="2"/>
  <c r="AB106" i="2"/>
  <c r="Z57" i="2"/>
  <c r="AA88" i="2"/>
  <c r="AA92" i="2"/>
  <c r="X92" i="2"/>
  <c r="Y92" i="2" s="1"/>
  <c r="U92" i="2" s="1"/>
  <c r="W106" i="2"/>
  <c r="Z123" i="2"/>
  <c r="X106" i="2"/>
  <c r="Y106" i="2" s="1"/>
  <c r="U106" i="2" s="1"/>
  <c r="Z75" i="2"/>
  <c r="AB71" i="2"/>
  <c r="Z48" i="2"/>
  <c r="W88" i="2"/>
  <c r="AA42" i="2"/>
  <c r="AB113" i="2"/>
  <c r="X113" i="2"/>
  <c r="Y113" i="2" s="1"/>
  <c r="U113" i="2" s="1"/>
  <c r="W50" i="2"/>
  <c r="W102" i="2"/>
  <c r="Z86" i="2"/>
  <c r="W94" i="2"/>
  <c r="X107" i="2"/>
  <c r="Y107" i="2" s="1"/>
  <c r="U107" i="2" s="1"/>
  <c r="X102" i="2"/>
  <c r="Y102" i="2" s="1"/>
  <c r="U102" i="2" s="1"/>
  <c r="AA81" i="2"/>
  <c r="X60" i="2"/>
  <c r="Y60" i="2" s="1"/>
  <c r="U60" i="2" s="1"/>
  <c r="AB96" i="2"/>
  <c r="W78" i="2"/>
  <c r="W107" i="2"/>
  <c r="Z102" i="2"/>
  <c r="W77" i="2"/>
  <c r="W59" i="2"/>
  <c r="Z59" i="2"/>
  <c r="Z41" i="2"/>
  <c r="AB50" i="2"/>
  <c r="X119" i="2"/>
  <c r="Y119" i="2" s="1"/>
  <c r="U119" i="2" s="1"/>
  <c r="W91" i="2"/>
  <c r="Z119" i="2"/>
  <c r="X70" i="2"/>
  <c r="Y70" i="2" s="1"/>
  <c r="U70" i="2" s="1"/>
  <c r="X95" i="2"/>
  <c r="Y95" i="2" s="1"/>
  <c r="U95" i="2" s="1"/>
  <c r="Z90" i="2"/>
  <c r="X43" i="2"/>
  <c r="Y43" i="2" s="1"/>
  <c r="U43" i="2" s="1"/>
  <c r="AB118" i="2"/>
  <c r="Z60" i="2"/>
  <c r="Z82" i="2"/>
  <c r="W104" i="2"/>
  <c r="W86" i="2"/>
  <c r="W70" i="2"/>
  <c r="AA115" i="2"/>
  <c r="Z78" i="2"/>
  <c r="Z115" i="2"/>
  <c r="AB102" i="2"/>
  <c r="AB74" i="2"/>
  <c r="X44" i="2"/>
  <c r="Y44" i="2" s="1"/>
  <c r="U44" i="2" s="1"/>
  <c r="Z47" i="2"/>
  <c r="AA50" i="2"/>
  <c r="X96" i="2"/>
  <c r="Y96" i="2" s="1"/>
  <c r="U96" i="2" s="1"/>
  <c r="AA44" i="2"/>
  <c r="X50" i="2"/>
  <c r="Y50" i="2" s="1"/>
  <c r="U50" i="2" s="1"/>
  <c r="W74" i="2"/>
  <c r="AA95" i="2"/>
  <c r="Z95" i="2"/>
  <c r="W82" i="2"/>
  <c r="W115" i="2"/>
  <c r="Z74" i="2"/>
  <c r="Z111" i="2"/>
  <c r="AB82" i="2"/>
  <c r="AB70" i="2"/>
  <c r="AA67" i="2"/>
  <c r="Z43" i="2"/>
  <c r="X67" i="2"/>
  <c r="Y67" i="2" s="1"/>
  <c r="U67" i="2" s="1"/>
  <c r="X115" i="2"/>
  <c r="Y115" i="2" s="1"/>
  <c r="U115" i="2" s="1"/>
  <c r="X91" i="2"/>
  <c r="Y91" i="2" s="1"/>
  <c r="U91" i="2" s="1"/>
  <c r="X79" i="2"/>
  <c r="Y79" i="2" s="1"/>
  <c r="U79" i="2" s="1"/>
  <c r="W119" i="2"/>
  <c r="Z110" i="2"/>
  <c r="AA87" i="2"/>
  <c r="Z91" i="2"/>
  <c r="X90" i="2"/>
  <c r="Y90" i="2" s="1"/>
  <c r="U90" i="2" s="1"/>
  <c r="X105" i="2"/>
  <c r="Y105" i="2" s="1"/>
  <c r="U105" i="2" s="1"/>
  <c r="W120" i="2"/>
  <c r="X93" i="2"/>
  <c r="Y93" i="2" s="1"/>
  <c r="U93" i="2" s="1"/>
  <c r="W118" i="2"/>
  <c r="AA119" i="2"/>
  <c r="X118" i="2"/>
  <c r="Y118" i="2" s="1"/>
  <c r="U118" i="2" s="1"/>
  <c r="W113" i="2"/>
  <c r="W93" i="2"/>
  <c r="Z71" i="2"/>
  <c r="W71" i="2"/>
  <c r="AB105" i="2"/>
  <c r="X80" i="2"/>
  <c r="Y80" i="2" s="1"/>
  <c r="U80" i="2" s="1"/>
  <c r="W95" i="2"/>
  <c r="AA79" i="2"/>
  <c r="Z70" i="2"/>
  <c r="AA117" i="2"/>
  <c r="AB110" i="2"/>
  <c r="AA105" i="2"/>
  <c r="X82" i="2"/>
  <c r="Y82" i="2" s="1"/>
  <c r="U82" i="2" s="1"/>
  <c r="X74" i="2"/>
  <c r="Y74" i="2" s="1"/>
  <c r="U74" i="2" s="1"/>
  <c r="AA69" i="2"/>
  <c r="W67" i="2"/>
  <c r="W43" i="2"/>
  <c r="AA71" i="2"/>
  <c r="Z63" i="2"/>
  <c r="Z44" i="2"/>
  <c r="AB63" i="2"/>
  <c r="W56" i="2"/>
  <c r="W48" i="2"/>
  <c r="AB73" i="2"/>
  <c r="X73" i="2"/>
  <c r="Y73" i="2" s="1"/>
  <c r="U73" i="2" s="1"/>
  <c r="AB42" i="2"/>
  <c r="W110" i="2"/>
  <c r="X87" i="2"/>
  <c r="Y87" i="2" s="1"/>
  <c r="U87" i="2" s="1"/>
  <c r="Z118" i="2"/>
  <c r="AA107" i="2"/>
  <c r="AA91" i="2"/>
  <c r="W87" i="2"/>
  <c r="W79" i="2"/>
  <c r="Z107" i="2"/>
  <c r="Z87" i="2"/>
  <c r="X110" i="2"/>
  <c r="Y110" i="2" s="1"/>
  <c r="U110" i="2" s="1"/>
  <c r="W105" i="2"/>
  <c r="W97" i="2"/>
  <c r="AA89" i="2"/>
  <c r="W73" i="2"/>
  <c r="X64" i="2"/>
  <c r="Y64" i="2" s="1"/>
  <c r="U64" i="2" s="1"/>
  <c r="X56" i="2"/>
  <c r="Y56" i="2" s="1"/>
  <c r="U56" i="2" s="1"/>
  <c r="Z67" i="2"/>
  <c r="Z56" i="2"/>
  <c r="W41" i="2"/>
  <c r="X63" i="2"/>
  <c r="Y63" i="2" s="1"/>
  <c r="U63" i="2" s="1"/>
  <c r="AB43" i="2"/>
  <c r="W80" i="2"/>
  <c r="AA54" i="2"/>
  <c r="W44" i="2"/>
  <c r="AB120" i="2"/>
  <c r="AA120" i="2"/>
  <c r="AA96" i="2"/>
  <c r="X120" i="2"/>
  <c r="Y120" i="2" s="1"/>
  <c r="U120" i="2" s="1"/>
  <c r="X104" i="2"/>
  <c r="Y104" i="2" s="1"/>
  <c r="U104" i="2" s="1"/>
  <c r="X89" i="2"/>
  <c r="Y89" i="2" s="1"/>
  <c r="U89" i="2" s="1"/>
  <c r="AB93" i="2"/>
  <c r="X42" i="2"/>
  <c r="Y42" i="2" s="1"/>
  <c r="U42" i="2" s="1"/>
  <c r="W98" i="2"/>
  <c r="W90" i="2"/>
  <c r="AA111" i="2"/>
  <c r="Z98" i="2"/>
  <c r="W109" i="2"/>
  <c r="X98" i="2"/>
  <c r="Y98" i="2" s="1"/>
  <c r="U98" i="2" s="1"/>
  <c r="AB90" i="2"/>
  <c r="AA73" i="2"/>
  <c r="AA75" i="2"/>
  <c r="X66" i="2"/>
  <c r="Y66" i="2" s="1"/>
  <c r="U66" i="2" s="1"/>
  <c r="W96" i="2"/>
  <c r="W60" i="2"/>
  <c r="AB104" i="2"/>
  <c r="X41" i="2"/>
  <c r="Y41" i="2" s="1"/>
  <c r="U41" i="2" s="1"/>
  <c r="AA104" i="2"/>
  <c r="X72" i="2"/>
  <c r="Y72" i="2" s="1"/>
  <c r="U72" i="2" s="1"/>
  <c r="AA60" i="2"/>
  <c r="AA48" i="2"/>
  <c r="W42" i="2"/>
  <c r="W55" i="2"/>
  <c r="W49" i="2"/>
  <c r="Z49" i="2"/>
  <c r="W112" i="2"/>
  <c r="X121" i="2"/>
  <c r="Y121" i="2" s="1"/>
  <c r="U121" i="2" s="1"/>
  <c r="W114" i="2"/>
  <c r="Z114" i="2"/>
  <c r="AA83" i="2"/>
  <c r="AB114" i="2"/>
  <c r="W81" i="2"/>
  <c r="X52" i="2"/>
  <c r="Y52" i="2" s="1"/>
  <c r="U52" i="2" s="1"/>
  <c r="X75" i="2"/>
  <c r="Y75" i="2" s="1"/>
  <c r="U75" i="2" s="1"/>
  <c r="AB55" i="2"/>
  <c r="Z45" i="2"/>
  <c r="W72" i="2"/>
  <c r="W52" i="2"/>
  <c r="AB45" i="2"/>
  <c r="X45" i="2"/>
  <c r="Y45" i="2" s="1"/>
  <c r="U45" i="2" s="1"/>
  <c r="AB81" i="2"/>
  <c r="X81" i="2"/>
  <c r="Y81" i="2" s="1"/>
  <c r="U81" i="2" s="1"/>
  <c r="AA99" i="2"/>
  <c r="W83" i="2"/>
  <c r="X114" i="2"/>
  <c r="Y114" i="2" s="1"/>
  <c r="U114" i="2" s="1"/>
  <c r="AB75" i="2"/>
  <c r="Z55" i="2"/>
  <c r="W61" i="2"/>
  <c r="W45" i="2"/>
  <c r="Z61" i="2"/>
  <c r="X55" i="2"/>
  <c r="Y55" i="2" s="1"/>
  <c r="U55" i="2" s="1"/>
  <c r="AA112" i="2"/>
  <c r="X99" i="2"/>
  <c r="Y99" i="2" s="1"/>
  <c r="U99" i="2" s="1"/>
  <c r="X83" i="2"/>
  <c r="Y83" i="2" s="1"/>
  <c r="U83" i="2" s="1"/>
  <c r="W99" i="2"/>
  <c r="Z99" i="2"/>
  <c r="Z83" i="2"/>
  <c r="AA121" i="2"/>
  <c r="Z52" i="2"/>
  <c r="AB49" i="2"/>
  <c r="AB112" i="2"/>
  <c r="AB72" i="2"/>
  <c r="AB121" i="2"/>
  <c r="AA72" i="2"/>
  <c r="X112" i="2"/>
  <c r="Y112" i="2" s="1"/>
  <c r="U112" i="2" s="1"/>
  <c r="AA52" i="2"/>
  <c r="Z116" i="2"/>
  <c r="W116" i="2"/>
  <c r="AA116" i="2"/>
  <c r="X116" i="2"/>
  <c r="Y116" i="2" s="1"/>
  <c r="U116" i="2" s="1"/>
  <c r="Z85" i="2"/>
  <c r="AB85" i="2"/>
  <c r="X85" i="2"/>
  <c r="Y85" i="2" s="1"/>
  <c r="U85" i="2" s="1"/>
  <c r="AA65" i="2"/>
  <c r="X65" i="2"/>
  <c r="Y65" i="2" s="1"/>
  <c r="U65" i="2" s="1"/>
  <c r="Z76" i="2"/>
  <c r="W76" i="2"/>
  <c r="X76" i="2"/>
  <c r="Y76" i="2" s="1"/>
  <c r="U76" i="2" s="1"/>
  <c r="AA76" i="2"/>
  <c r="Z58" i="2"/>
  <c r="W58" i="2"/>
  <c r="X58" i="2"/>
  <c r="Y58" i="2" s="1"/>
  <c r="U58" i="2" s="1"/>
  <c r="Z46" i="2"/>
  <c r="W46" i="2"/>
  <c r="X46" i="2"/>
  <c r="Y46" i="2" s="1"/>
  <c r="U46" i="2" s="1"/>
  <c r="Z68" i="2"/>
  <c r="X68" i="2"/>
  <c r="Y68" i="2" s="1"/>
  <c r="U68" i="2" s="1"/>
  <c r="W68" i="2"/>
  <c r="AA68" i="2"/>
  <c r="W111" i="2"/>
  <c r="AB98" i="2"/>
  <c r="AB94" i="2"/>
  <c r="AB86" i="2"/>
  <c r="AB78" i="2"/>
  <c r="W47" i="2"/>
  <c r="W65" i="2"/>
  <c r="X59" i="2"/>
  <c r="Y59" i="2" s="1"/>
  <c r="U59" i="2" s="1"/>
  <c r="AB47" i="2"/>
  <c r="AB65" i="2"/>
  <c r="AA58" i="2"/>
  <c r="AB80" i="2"/>
  <c r="AA80" i="2"/>
  <c r="X97" i="2"/>
  <c r="Y97" i="2" s="1"/>
  <c r="U97" i="2" s="1"/>
  <c r="AB76" i="2"/>
  <c r="AA56" i="2"/>
  <c r="Z84" i="2"/>
  <c r="AA84" i="2"/>
  <c r="X84" i="2"/>
  <c r="Y84" i="2" s="1"/>
  <c r="U84" i="2" s="1"/>
  <c r="W84" i="2"/>
  <c r="AA61" i="2"/>
  <c r="X61" i="2"/>
  <c r="Y61" i="2" s="1"/>
  <c r="U61" i="2" s="1"/>
  <c r="Z109" i="2"/>
  <c r="X109" i="2"/>
  <c r="Y109" i="2" s="1"/>
  <c r="U109" i="2" s="1"/>
  <c r="AB109" i="2"/>
  <c r="Z101" i="2"/>
  <c r="AB101" i="2"/>
  <c r="X101" i="2"/>
  <c r="Y101" i="2" s="1"/>
  <c r="U101" i="2" s="1"/>
  <c r="Z66" i="2"/>
  <c r="AA66" i="2"/>
  <c r="W66" i="2"/>
  <c r="Z94" i="2"/>
  <c r="X94" i="2"/>
  <c r="Y94" i="2" s="1"/>
  <c r="U94" i="2" s="1"/>
  <c r="X86" i="2"/>
  <c r="Y86" i="2" s="1"/>
  <c r="U86" i="2" s="1"/>
  <c r="X78" i="2"/>
  <c r="Y78" i="2" s="1"/>
  <c r="U78" i="2" s="1"/>
  <c r="Z51" i="2"/>
  <c r="AB51" i="2"/>
  <c r="X47" i="2"/>
  <c r="Y47" i="2" s="1"/>
  <c r="U47" i="2" s="1"/>
  <c r="AA46" i="2"/>
  <c r="AB116" i="2"/>
  <c r="AB46" i="2"/>
  <c r="Z108" i="2"/>
  <c r="W108" i="2"/>
  <c r="X108" i="2"/>
  <c r="Y108" i="2" s="1"/>
  <c r="U108" i="2" s="1"/>
  <c r="AA108" i="2"/>
  <c r="Z100" i="2"/>
  <c r="X100" i="2"/>
  <c r="Y100" i="2" s="1"/>
  <c r="U100" i="2" s="1"/>
  <c r="W100" i="2"/>
  <c r="AA100" i="2"/>
  <c r="AA53" i="2"/>
  <c r="X53" i="2"/>
  <c r="Y53" i="2" s="1"/>
  <c r="U53" i="2" s="1"/>
  <c r="X111" i="2"/>
  <c r="Y111" i="2" s="1"/>
  <c r="U111" i="2" s="1"/>
  <c r="AA97" i="2"/>
  <c r="AA85" i="2"/>
  <c r="W51" i="2"/>
  <c r="X51" i="2"/>
  <c r="Y51" i="2" s="1"/>
  <c r="U51" i="2" s="1"/>
  <c r="Z117" i="2"/>
  <c r="X117" i="2"/>
  <c r="Y117" i="2" s="1"/>
  <c r="U117" i="2" s="1"/>
  <c r="AB117" i="2"/>
  <c r="Z54" i="2"/>
  <c r="W54" i="2"/>
  <c r="X54" i="2"/>
  <c r="Y54" i="2" s="1"/>
  <c r="U54" i="2" s="1"/>
  <c r="Z77" i="2"/>
  <c r="X77" i="2"/>
  <c r="Y77" i="2" s="1"/>
  <c r="U77" i="2" s="1"/>
  <c r="AB77" i="2"/>
  <c r="Z69" i="2"/>
  <c r="AB69" i="2"/>
  <c r="X69" i="2"/>
  <c r="Y69" i="2" s="1"/>
  <c r="U69" i="2" s="1"/>
  <c r="Z62" i="2"/>
  <c r="X62" i="2"/>
  <c r="Y62" i="2" s="1"/>
  <c r="U62" i="2" s="1"/>
  <c r="W62" i="2"/>
  <c r="AA62" i="2"/>
  <c r="R10" i="2" l="1"/>
  <c r="Q10" i="2"/>
  <c r="P10" i="2"/>
  <c r="O10" i="2"/>
  <c r="N10" i="2"/>
  <c r="K4" i="2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R12" i="2" s="1"/>
  <c r="I4" i="2"/>
  <c r="I5" i="2" s="1"/>
  <c r="G4" i="2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P12" i="2" s="1"/>
  <c r="E4" i="2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O12" i="2" s="1"/>
  <c r="C4" i="2"/>
  <c r="C5" i="2" s="1"/>
  <c r="C6" i="2" s="1"/>
  <c r="C7" i="2" s="1"/>
  <c r="N5" i="2"/>
  <c r="M25" i="2"/>
  <c r="A2" i="2"/>
  <c r="C1" i="2"/>
  <c r="W39" i="2"/>
  <c r="X39" i="2"/>
  <c r="X40" i="2"/>
  <c r="W40" i="2"/>
  <c r="X36" i="2"/>
  <c r="X28" i="2"/>
  <c r="X20" i="2"/>
  <c r="X12" i="2"/>
  <c r="X27" i="2"/>
  <c r="X11" i="2"/>
  <c r="W35" i="2"/>
  <c r="W27" i="2"/>
  <c r="W19" i="2"/>
  <c r="W11" i="2"/>
  <c r="W37" i="2"/>
  <c r="W29" i="2"/>
  <c r="W21" i="2"/>
  <c r="W13" i="2"/>
  <c r="W5" i="2"/>
  <c r="X31" i="2"/>
  <c r="X15" i="2"/>
  <c r="X32" i="2"/>
  <c r="X24" i="2"/>
  <c r="X16" i="2"/>
  <c r="X8" i="2"/>
  <c r="X35" i="2"/>
  <c r="X19" i="2"/>
  <c r="W31" i="2"/>
  <c r="W23" i="2"/>
  <c r="W15" i="2"/>
  <c r="W7" i="2"/>
  <c r="W33" i="2"/>
  <c r="W25" i="2"/>
  <c r="W17" i="2"/>
  <c r="W9" i="2"/>
  <c r="X23" i="2"/>
  <c r="X7" i="2"/>
  <c r="X37" i="2"/>
  <c r="X21" i="2"/>
  <c r="W32" i="2"/>
  <c r="W16" i="2"/>
  <c r="X33" i="2"/>
  <c r="X17" i="2"/>
  <c r="W28" i="2"/>
  <c r="W12" i="2"/>
  <c r="X29" i="2"/>
  <c r="X13" i="2"/>
  <c r="W24" i="2"/>
  <c r="W8" i="2"/>
  <c r="X5" i="2"/>
  <c r="X25" i="2"/>
  <c r="X9" i="2"/>
  <c r="W36" i="2"/>
  <c r="W20" i="2"/>
  <c r="X4" i="2"/>
  <c r="W4" i="2"/>
  <c r="X14" i="2"/>
  <c r="W14" i="2"/>
  <c r="X38" i="2"/>
  <c r="W38" i="2"/>
  <c r="X30" i="2"/>
  <c r="W30" i="2"/>
  <c r="X10" i="2"/>
  <c r="W10" i="2"/>
  <c r="X22" i="2"/>
  <c r="W22" i="2"/>
  <c r="X26" i="2"/>
  <c r="W26" i="2"/>
  <c r="X6" i="2"/>
  <c r="W6" i="2"/>
  <c r="X18" i="2"/>
  <c r="W18" i="2"/>
  <c r="X34" i="2"/>
  <c r="W34" i="2"/>
  <c r="Z34" i="2" l="1"/>
  <c r="Y34" i="2"/>
  <c r="U34" i="2" s="1"/>
  <c r="Z18" i="2"/>
  <c r="Y18" i="2"/>
  <c r="U18" i="2" s="1"/>
  <c r="Z6" i="2"/>
  <c r="Y6" i="2"/>
  <c r="U6" i="2" s="1"/>
  <c r="Z26" i="2"/>
  <c r="Y26" i="2"/>
  <c r="U26" i="2" s="1"/>
  <c r="Z22" i="2"/>
  <c r="Y22" i="2"/>
  <c r="U22" i="2" s="1"/>
  <c r="Z10" i="2"/>
  <c r="Y10" i="2"/>
  <c r="U10" i="2" s="1"/>
  <c r="Z30" i="2"/>
  <c r="Y30" i="2"/>
  <c r="U30" i="2" s="1"/>
  <c r="Z38" i="2"/>
  <c r="Y38" i="2"/>
  <c r="U38" i="2" s="1"/>
  <c r="Z14" i="2"/>
  <c r="Y14" i="2"/>
  <c r="U14" i="2" s="1"/>
  <c r="Z4" i="2"/>
  <c r="Y4" i="2"/>
  <c r="U4" i="2" s="1"/>
  <c r="Z20" i="2"/>
  <c r="Z36" i="2"/>
  <c r="Y9" i="2"/>
  <c r="U9" i="2" s="1"/>
  <c r="Y25" i="2"/>
  <c r="U25" i="2" s="1"/>
  <c r="Y5" i="2"/>
  <c r="U5" i="2" s="1"/>
  <c r="Z8" i="2"/>
  <c r="Z24" i="2"/>
  <c r="Y13" i="2"/>
  <c r="U13" i="2" s="1"/>
  <c r="Y29" i="2"/>
  <c r="U29" i="2" s="1"/>
  <c r="Z12" i="2"/>
  <c r="Z28" i="2"/>
  <c r="Y17" i="2"/>
  <c r="U17" i="2" s="1"/>
  <c r="Y33" i="2"/>
  <c r="U33" i="2" s="1"/>
  <c r="Z16" i="2"/>
  <c r="Z32" i="2"/>
  <c r="Y21" i="2"/>
  <c r="U21" i="2" s="1"/>
  <c r="Y37" i="2"/>
  <c r="U37" i="2" s="1"/>
  <c r="Y7" i="2"/>
  <c r="U7" i="2" s="1"/>
  <c r="Y23" i="2"/>
  <c r="U23" i="2" s="1"/>
  <c r="Z9" i="2"/>
  <c r="Z17" i="2"/>
  <c r="Z25" i="2"/>
  <c r="Z33" i="2"/>
  <c r="Z7" i="2"/>
  <c r="Z15" i="2"/>
  <c r="Z23" i="2"/>
  <c r="Z31" i="2"/>
  <c r="Y19" i="2"/>
  <c r="U19" i="2" s="1"/>
  <c r="Y35" i="2"/>
  <c r="U35" i="2" s="1"/>
  <c r="Y8" i="2"/>
  <c r="U8" i="2" s="1"/>
  <c r="Y16" i="2"/>
  <c r="U16" i="2" s="1"/>
  <c r="Y24" i="2"/>
  <c r="U24" i="2" s="1"/>
  <c r="Y32" i="2"/>
  <c r="U32" i="2" s="1"/>
  <c r="Y15" i="2"/>
  <c r="U15" i="2" s="1"/>
  <c r="Y31" i="2"/>
  <c r="U31" i="2" s="1"/>
  <c r="Z5" i="2"/>
  <c r="AA5" i="2"/>
  <c r="AB5" i="2" s="1"/>
  <c r="Z13" i="2"/>
  <c r="Z21" i="2"/>
  <c r="Z29" i="2"/>
  <c r="Z37" i="2"/>
  <c r="Z11" i="2"/>
  <c r="Z19" i="2"/>
  <c r="Z27" i="2"/>
  <c r="Z35" i="2"/>
  <c r="Y11" i="2"/>
  <c r="U11" i="2" s="1"/>
  <c r="Y27" i="2"/>
  <c r="U27" i="2" s="1"/>
  <c r="Y12" i="2"/>
  <c r="U12" i="2" s="1"/>
  <c r="Y20" i="2"/>
  <c r="U20" i="2" s="1"/>
  <c r="Y28" i="2"/>
  <c r="U28" i="2" s="1"/>
  <c r="Y36" i="2"/>
  <c r="U36" i="2" s="1"/>
  <c r="Z40" i="2"/>
  <c r="Y40" i="2"/>
  <c r="U40" i="2" s="1"/>
  <c r="Y39" i="2"/>
  <c r="U39" i="2" s="1"/>
  <c r="Z39" i="2"/>
  <c r="I6" i="2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Q12" i="2" s="1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N12" i="2" s="1"/>
  <c r="AA13" i="2" l="1"/>
  <c r="AB13" i="2" s="1"/>
  <c r="AA6" i="2"/>
  <c r="AB6" i="2" s="1"/>
  <c r="AA9" i="2"/>
  <c r="AB9" i="2" s="1"/>
  <c r="AA30" i="2"/>
  <c r="AB30" i="2" s="1"/>
  <c r="AA4" i="2"/>
  <c r="AB4" i="2" s="1"/>
  <c r="AA10" i="2"/>
  <c r="AB10" i="2" s="1"/>
  <c r="AA39" i="2"/>
  <c r="AB39" i="2" s="1"/>
  <c r="AA40" i="2"/>
  <c r="AB40" i="2" s="1"/>
  <c r="AA35" i="2"/>
  <c r="AB35" i="2" s="1"/>
  <c r="AA19" i="2"/>
  <c r="AB19" i="2" s="1"/>
  <c r="AA37" i="2"/>
  <c r="AB37" i="2" s="1"/>
  <c r="AA21" i="2"/>
  <c r="AB21" i="2" s="1"/>
  <c r="AA23" i="2"/>
  <c r="AB23" i="2" s="1"/>
  <c r="AA7" i="2"/>
  <c r="AB7" i="2" s="1"/>
  <c r="AA25" i="2"/>
  <c r="AB25" i="2" s="1"/>
  <c r="AA16" i="2"/>
  <c r="AB16" i="2" s="1"/>
  <c r="AA28" i="2"/>
  <c r="AB28" i="2" s="1"/>
  <c r="AA8" i="2"/>
  <c r="AB8" i="2" s="1"/>
  <c r="AA38" i="2"/>
  <c r="AB38" i="2" s="1"/>
  <c r="AA26" i="2"/>
  <c r="AB26" i="2" s="1"/>
  <c r="AA20" i="2"/>
  <c r="AB20" i="2" s="1"/>
  <c r="AA36" i="2"/>
  <c r="AB36" i="2" s="1"/>
  <c r="AA14" i="2"/>
  <c r="AB14" i="2" s="1"/>
  <c r="AA22" i="2"/>
  <c r="AB22" i="2" s="1"/>
  <c r="AA34" i="2"/>
  <c r="AB34" i="2" s="1"/>
  <c r="AA27" i="2"/>
  <c r="AB27" i="2" s="1"/>
  <c r="AA11" i="2"/>
  <c r="AB11" i="2" s="1"/>
  <c r="AA29" i="2"/>
  <c r="AB29" i="2" s="1"/>
  <c r="AA31" i="2"/>
  <c r="AB31" i="2" s="1"/>
  <c r="AA15" i="2"/>
  <c r="AB15" i="2" s="1"/>
  <c r="AA33" i="2"/>
  <c r="AB33" i="2" s="1"/>
  <c r="AA17" i="2"/>
  <c r="AB17" i="2" s="1"/>
  <c r="AA32" i="2"/>
  <c r="AB32" i="2" s="1"/>
  <c r="AA12" i="2"/>
  <c r="AB12" i="2" s="1"/>
  <c r="AA24" i="2"/>
  <c r="AB24" i="2" s="1"/>
  <c r="AA18" i="2"/>
  <c r="AB18" i="2" s="1"/>
  <c r="S22" i="2"/>
  <c r="R22" i="2"/>
  <c r="Q22" i="2"/>
  <c r="P22" i="2"/>
  <c r="O22" i="2"/>
  <c r="N7" i="2"/>
  <c r="AH17" i="2"/>
  <c r="AH32" i="2"/>
  <c r="AH37" i="2"/>
  <c r="AH68" i="2"/>
  <c r="AH71" i="2"/>
  <c r="AH33" i="2"/>
  <c r="AH28" i="2"/>
  <c r="AH59" i="2"/>
  <c r="AH93" i="2"/>
  <c r="AH47" i="2"/>
  <c r="AH83" i="2"/>
  <c r="AH54" i="2"/>
  <c r="AH39" i="2"/>
  <c r="AH24" i="2"/>
  <c r="AH52" i="2"/>
  <c r="AH50" i="2"/>
  <c r="AH23" i="2"/>
  <c r="AH108" i="2"/>
  <c r="AH35" i="2"/>
  <c r="AH114" i="2"/>
  <c r="AH16" i="2"/>
  <c r="AH62" i="2"/>
  <c r="AH56" i="2"/>
  <c r="AH55" i="2"/>
  <c r="AH40" i="2"/>
  <c r="AH98" i="2"/>
  <c r="AH82" i="2"/>
  <c r="AH81" i="2"/>
  <c r="AH21" i="2"/>
  <c r="AH119" i="2"/>
  <c r="AH61" i="2"/>
  <c r="AH110" i="2"/>
  <c r="AH72" i="2"/>
  <c r="AH100" i="2"/>
  <c r="AH95" i="2"/>
  <c r="AH102" i="2"/>
  <c r="AH46" i="2"/>
  <c r="AH96" i="2"/>
  <c r="AH121" i="2"/>
  <c r="AH42" i="2"/>
  <c r="AH34" i="2"/>
  <c r="AH60" i="2"/>
  <c r="AH113" i="2"/>
  <c r="AH26" i="2"/>
  <c r="AH41" i="2"/>
  <c r="AH65" i="2"/>
  <c r="AH29" i="2"/>
  <c r="AH112" i="2"/>
  <c r="AH116" i="2"/>
  <c r="AH87" i="2"/>
  <c r="AH38" i="2"/>
  <c r="AH122" i="2"/>
  <c r="AH49" i="2"/>
  <c r="AH19" i="2"/>
  <c r="AH123" i="2"/>
  <c r="AH107" i="2"/>
  <c r="AH115" i="2"/>
  <c r="AH111" i="2"/>
  <c r="AH43" i="2"/>
  <c r="AH84" i="2"/>
  <c r="AH73" i="2"/>
  <c r="AH57" i="2"/>
  <c r="AH51" i="2"/>
  <c r="AH101" i="2"/>
  <c r="AH105" i="2"/>
  <c r="AH92" i="2"/>
  <c r="AH53" i="2"/>
  <c r="AH103" i="2"/>
  <c r="AH70" i="2"/>
  <c r="AH78" i="2"/>
  <c r="AH45" i="2"/>
  <c r="AH80" i="2"/>
  <c r="AH104" i="2"/>
  <c r="N6" i="2"/>
  <c r="AH25" i="2"/>
  <c r="AH118" i="2"/>
  <c r="AH120" i="2"/>
  <c r="AH106" i="2"/>
  <c r="AH77" i="2"/>
  <c r="AH20" i="2"/>
  <c r="AH91" i="2"/>
  <c r="AH22" i="2"/>
  <c r="AH36" i="2"/>
  <c r="AH63" i="2"/>
  <c r="AH27" i="2"/>
  <c r="AH109" i="2"/>
  <c r="AH94" i="2"/>
  <c r="AH69" i="2"/>
  <c r="AH74" i="2"/>
  <c r="AH76" i="2"/>
  <c r="AH44" i="2"/>
  <c r="AH88" i="2"/>
  <c r="AH85" i="2"/>
  <c r="AH31" i="2"/>
  <c r="AH18" i="2"/>
  <c r="AH86" i="2"/>
  <c r="AH66" i="2"/>
  <c r="AH79" i="2"/>
  <c r="AH67" i="2"/>
  <c r="AH89" i="2"/>
  <c r="AH48" i="2"/>
  <c r="AH99" i="2"/>
  <c r="AH90" i="2"/>
  <c r="AH64" i="2"/>
  <c r="AH75" i="2"/>
  <c r="AH58" i="2"/>
  <c r="AH117" i="2"/>
  <c r="AH97" i="2"/>
  <c r="AH30" i="2"/>
  <c r="AH13" i="2"/>
  <c r="AH10" i="2"/>
  <c r="AH15" i="2"/>
  <c r="AH8" i="2"/>
  <c r="AH7" i="2"/>
  <c r="AH9" i="2"/>
  <c r="AH5" i="2"/>
  <c r="AH14" i="2"/>
  <c r="AH6" i="2"/>
  <c r="AH11" i="2"/>
  <c r="AH12" i="2"/>
  <c r="AH4" i="2"/>
  <c r="R13" i="2" l="1"/>
  <c r="Q13" i="2"/>
  <c r="P13" i="2"/>
  <c r="O13" i="2"/>
  <c r="N13" i="2"/>
  <c r="O23" i="2"/>
  <c r="P23" i="2"/>
  <c r="S23" i="2"/>
  <c r="R23" i="2"/>
  <c r="Q23" i="2"/>
  <c r="N11" i="2" l="1"/>
  <c r="O11" i="2"/>
  <c r="Q11" i="2"/>
  <c r="R11" i="2"/>
  <c r="P11" i="2"/>
  <c r="N17" i="2" l="1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</authors>
  <commentList>
    <comment ref="AA3" authorId="0" shapeId="0" xr:uid="{5FD3DE50-62BE-4A68-BC0F-07B9A2E0547C}">
      <text>
        <r>
          <rPr>
            <b/>
            <sz val="9"/>
            <color indexed="81"/>
            <rFont val="Tahoma"/>
            <charset val="1"/>
          </rPr>
          <t>roger:</t>
        </r>
        <r>
          <rPr>
            <sz val="9"/>
            <color indexed="81"/>
            <rFont val="Tahoma"/>
            <charset val="1"/>
          </rPr>
          <t xml:space="preserve">
Sum of Points / Frequency of Score</t>
        </r>
      </text>
    </comment>
  </commentList>
</comments>
</file>

<file path=xl/sharedStrings.xml><?xml version="1.0" encoding="utf-8"?>
<sst xmlns="http://schemas.openxmlformats.org/spreadsheetml/2006/main" count="942" uniqueCount="60">
  <si>
    <t>Turn</t>
  </si>
  <si>
    <t>Ryan</t>
  </si>
  <si>
    <t>Chris</t>
  </si>
  <si>
    <t>Lester</t>
  </si>
  <si>
    <t>Overall</t>
  </si>
  <si>
    <t>Individuals</t>
  </si>
  <si>
    <t>Awards</t>
  </si>
  <si>
    <t>Highest Point</t>
  </si>
  <si>
    <t>Average Point</t>
  </si>
  <si>
    <t xml:space="preserve"> </t>
  </si>
  <si>
    <t>Place</t>
  </si>
  <si>
    <t>Winner Winner Chicken Dinner</t>
  </si>
  <si>
    <t>Total Points</t>
  </si>
  <si>
    <t>Average Points per Play</t>
  </si>
  <si>
    <t>Largest Five Plays</t>
  </si>
  <si>
    <t>Player</t>
  </si>
  <si>
    <t>Points</t>
  </si>
  <si>
    <t>Delta</t>
  </si>
  <si>
    <t>b</t>
  </si>
  <si>
    <t>d</t>
  </si>
  <si>
    <t>f</t>
  </si>
  <si>
    <t>h</t>
  </si>
  <si>
    <t>j</t>
  </si>
  <si>
    <t>Players</t>
  </si>
  <si>
    <t>AE</t>
  </si>
  <si>
    <t>AF</t>
  </si>
  <si>
    <t>AG</t>
  </si>
  <si>
    <t>Algorithm Space</t>
  </si>
  <si>
    <t>Point</t>
  </si>
  <si>
    <t>Total</t>
  </si>
  <si>
    <t>Average</t>
  </si>
  <si>
    <t>Largest Plays</t>
  </si>
  <si>
    <t>1st</t>
  </si>
  <si>
    <t>2nd</t>
  </si>
  <si>
    <t>3rd</t>
  </si>
  <si>
    <t>4th</t>
  </si>
  <si>
    <t>5th</t>
  </si>
  <si>
    <t>Inst</t>
  </si>
  <si>
    <t>Game</t>
  </si>
  <si>
    <t>Game Name</t>
  </si>
  <si>
    <t>Data</t>
  </si>
  <si>
    <t>AD</t>
  </si>
  <si>
    <t>Future Award 1</t>
  </si>
  <si>
    <t>Future Award 2</t>
  </si>
  <si>
    <t>Future Award 3</t>
  </si>
  <si>
    <t>Deviation from Norm</t>
  </si>
  <si>
    <t>Code</t>
  </si>
  <si>
    <t>Type</t>
  </si>
  <si>
    <t>Legacy Avg</t>
  </si>
  <si>
    <r>
      <t xml:space="preserve">Legacy </t>
    </r>
    <r>
      <rPr>
        <b/>
        <sz val="13"/>
        <color theme="3"/>
        <rFont val="Calibri"/>
        <family val="2"/>
      </rPr>
      <t>∆</t>
    </r>
  </si>
  <si>
    <t>Game 06.28.18</t>
  </si>
  <si>
    <t>Czarina</t>
  </si>
  <si>
    <t>Nicole</t>
  </si>
  <si>
    <t>Score</t>
  </si>
  <si>
    <t>Deduction</t>
  </si>
  <si>
    <t>Game 07.02.18</t>
  </si>
  <si>
    <t>Game Avg</t>
  </si>
  <si>
    <t>Game ∆</t>
  </si>
  <si>
    <t>Game 07.11.18</t>
  </si>
  <si>
    <t>Game 07.27.18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</si>
</sst>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indexed="10"/>
      <name val="Calibri"/>
      <family val="2"/>
      <scheme val="minor"/>
    </font>
    <font>
      <b/>
      <sz val="13"/>
      <color theme="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theme="4" tint="0.499984740745262"/>
      </bottom>
      <diagonal/>
    </border>
    <border>
      <left/>
      <right style="medium">
        <color indexed="64"/>
      </right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/>
      <bottom style="thick">
        <color theme="4" tint="0.499984740745262"/>
      </bottom>
      <diagonal/>
    </border>
    <border>
      <left style="medium">
        <color indexed="64"/>
      </left>
      <right/>
      <top style="thick">
        <color theme="4" tint="0.499984740745262"/>
      </top>
      <bottom/>
      <diagonal/>
    </border>
    <border>
      <left/>
      <right/>
      <top style="thick">
        <color theme="4" tint="0.499984740745262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3" fillId="0" borderId="2" applyNumberFormat="0" applyFill="0" applyAlignment="0" applyProtection="0"/>
  </cellStyleXfs>
  <cellXfs count="60">
    <xf numFmtId="0" fontId="0" fillId="0" borderId="0" xfId="0"/>
    <xf numFmtId="0" fontId="0" fillId="0" borderId="5" xfId="0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4" borderId="4" xfId="2" applyFill="1" applyBorder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3" fillId="4" borderId="9" xfId="2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12" xfId="1" applyBorder="1" applyAlignment="1">
      <alignment horizontal="center"/>
    </xf>
    <xf numFmtId="0" fontId="1" fillId="0" borderId="13" xfId="1" applyBorder="1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0" fillId="0" borderId="14" xfId="0" applyBorder="1"/>
    <xf numFmtId="164" fontId="0" fillId="0" borderId="0" xfId="0" applyNumberFormat="1" applyBorder="1"/>
    <xf numFmtId="164" fontId="0" fillId="0" borderId="6" xfId="0" applyNumberFormat="1" applyBorder="1"/>
    <xf numFmtId="164" fontId="0" fillId="0" borderId="6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8" xfId="0" applyNumberFormat="1" applyBorder="1"/>
    <xf numFmtId="164" fontId="0" fillId="0" borderId="0" xfId="0" applyNumberFormat="1"/>
    <xf numFmtId="164" fontId="0" fillId="0" borderId="0" xfId="0" applyNumberFormat="1" applyFill="1" applyBorder="1"/>
    <xf numFmtId="164" fontId="0" fillId="0" borderId="6" xfId="0" applyNumberFormat="1" applyFill="1" applyBorder="1"/>
    <xf numFmtId="164" fontId="0" fillId="0" borderId="0" xfId="0" quotePrefix="1" applyNumberFormat="1" applyBorder="1"/>
    <xf numFmtId="0" fontId="3" fillId="4" borderId="15" xfId="2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" fillId="0" borderId="11" xfId="1" applyBorder="1" applyAlignment="1">
      <alignment horizontal="left" vertical="center"/>
    </xf>
    <xf numFmtId="0" fontId="3" fillId="4" borderId="3" xfId="2" applyFill="1" applyBorder="1" applyAlignment="1">
      <alignment horizontal="left" vertical="center"/>
    </xf>
    <xf numFmtId="164" fontId="0" fillId="0" borderId="0" xfId="0" quotePrefix="1" applyNumberFormat="1"/>
    <xf numFmtId="164" fontId="0" fillId="2" borderId="0" xfId="0" applyNumberFormat="1" applyFill="1" applyBorder="1"/>
    <xf numFmtId="0" fontId="0" fillId="0" borderId="0" xfId="0" applyNumberFormat="1" applyBorder="1"/>
    <xf numFmtId="0" fontId="3" fillId="4" borderId="16" xfId="2" applyFill="1" applyBorder="1" applyAlignment="1">
      <alignment horizontal="center"/>
    </xf>
    <xf numFmtId="0" fontId="2" fillId="0" borderId="5" xfId="0" applyFont="1" applyBorder="1" applyAlignment="1">
      <alignment horizontal="left" vertical="center"/>
    </xf>
    <xf numFmtId="164" fontId="6" fillId="5" borderId="0" xfId="0" applyNumberFormat="1" applyFont="1" applyFill="1" applyBorder="1"/>
    <xf numFmtId="164" fontId="4" fillId="6" borderId="0" xfId="0" applyNumberFormat="1" applyFont="1" applyFill="1" applyBorder="1"/>
    <xf numFmtId="164" fontId="0" fillId="6" borderId="0" xfId="0" applyNumberFormat="1" applyFill="1" applyBorder="1"/>
    <xf numFmtId="0" fontId="3" fillId="4" borderId="9" xfId="2" applyFill="1" applyBorder="1" applyAlignment="1">
      <alignment horizontal="center"/>
    </xf>
    <xf numFmtId="0" fontId="2" fillId="0" borderId="5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3" fillId="4" borderId="3" xfId="2" applyFill="1" applyBorder="1" applyAlignment="1">
      <alignment horizontal="center"/>
    </xf>
    <xf numFmtId="0" fontId="3" fillId="4" borderId="15" xfId="2" applyFill="1" applyBorder="1" applyAlignment="1">
      <alignment horizontal="center"/>
    </xf>
    <xf numFmtId="0" fontId="3" fillId="4" borderId="4" xfId="2" applyFill="1" applyBorder="1" applyAlignment="1">
      <alignment horizontal="center"/>
    </xf>
    <xf numFmtId="0" fontId="5" fillId="0" borderId="5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1" fillId="0" borderId="11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0" borderId="13" xfId="1" applyBorder="1" applyAlignment="1">
      <alignment horizontal="center"/>
    </xf>
    <xf numFmtId="0" fontId="3" fillId="4" borderId="9" xfId="2" applyFill="1" applyBorder="1" applyAlignment="1">
      <alignment horizontal="center"/>
    </xf>
    <xf numFmtId="0" fontId="3" fillId="4" borderId="10" xfId="2" applyFill="1" applyBorder="1" applyAlignment="1">
      <alignment horizontal="center"/>
    </xf>
    <xf numFmtId="0" fontId="3" fillId="4" borderId="2" xfId="2" applyFill="1" applyBorder="1" applyAlignment="1">
      <alignment horizontal="center"/>
    </xf>
    <xf numFmtId="164" fontId="0" fillId="0" borderId="5" xfId="0" applyNumberFormat="1" applyFill="1" applyBorder="1"/>
    <xf numFmtId="164" fontId="0" fillId="0" borderId="17" xfId="0" applyNumberFormat="1" applyFill="1" applyBorder="1"/>
    <xf numFmtId="0" fontId="0" fillId="0" borderId="18" xfId="0" applyFill="1" applyBorder="1"/>
    <xf numFmtId="164" fontId="0" fillId="0" borderId="7" xfId="0" applyNumberFormat="1" applyFill="1" applyBorder="1"/>
    <xf numFmtId="164" fontId="2" fillId="0" borderId="0" xfId="0" applyNumberFormat="1" applyFont="1" applyBorder="1" applyAlignment="1">
      <alignment horizontal="center"/>
    </xf>
  </cellXfs>
  <cellStyles count="3">
    <cellStyle name="Heading 1" xfId="1" builtinId="16"/>
    <cellStyle name="Heading 2" xfId="2" builtinId="17"/>
    <cellStyle name="Normal" xfId="0" builtinId="0"/>
  </cellStyles>
  <dxfs count="23">
    <dxf>
      <numFmt numFmtId="164" formatCode="0.0"/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4" tint="0.499984740745262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36113</xdr:colOff>
          <xdr:row>27</xdr:row>
          <xdr:rowOff>19878</xdr:rowOff>
        </xdr:from>
        <xdr:to>
          <xdr:col>14</xdr:col>
          <xdr:colOff>935272</xdr:colOff>
          <xdr:row>28</xdr:row>
          <xdr:rowOff>174928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BF4B187-BD2E-4DA0-BD26-DA0C4FBD3E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SCORE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70CE3B-D73E-4B35-A601-6DC3EE5AD0A7}" name="Table1" displayName="Table1" ref="A3:K138" totalsRowShown="0" headerRowDxfId="13" headerRowBorderDxfId="21" tableBorderDxfId="22" headerRowCellStyle="Heading 2">
  <autoFilter ref="A3:K138" xr:uid="{868A797A-5287-4596-B86E-B203A5172038}"/>
  <tableColumns count="11">
    <tableColumn id="1" xr3:uid="{044335CE-ECC7-46E2-A88C-9D6086693E11}" name="Code">
      <calculatedColumnFormula>B4&amp;"-"&amp;C4</calculatedColumnFormula>
    </tableColumn>
    <tableColumn id="2" xr3:uid="{F3FA12D3-6C2C-4B8A-9D9B-DF62329FBD25}" name="Game" dataDxfId="20"/>
    <tableColumn id="3" xr3:uid="{2EA1518D-8AAB-4206-9B52-0B88CD0E0EB9}" name="Turn"/>
    <tableColumn id="4" xr3:uid="{471BCC2D-D4AB-49FF-AC70-AA238236E139}" name="Player"/>
    <tableColumn id="5" xr3:uid="{D3CC8827-0B92-439E-ADAF-47AC44921645}" name="Point" dataDxfId="19"/>
    <tableColumn id="6" xr3:uid="{4AF9FB2C-9462-4D11-B90E-9856B451C6C2}" name="Type" dataDxfId="18"/>
    <tableColumn id="7" xr3:uid="{08DF0553-4A7F-49B9-8FFC-988DA7484868}" name="Total" dataDxfId="0">
      <calculatedColumnFormula>SUMIFS($E$4:$E4,$D$4:$D4,$D4,$B$4:$B4,$B4)</calculatedColumnFormula>
    </tableColumn>
    <tableColumn id="8" xr3:uid="{10D32BFC-5A83-4569-A089-91AE8F294AE4}" name="Game Avg" dataDxfId="17"/>
    <tableColumn id="9" xr3:uid="{ECA4148D-C1C5-4FAA-A4EE-7E12C229FF89}" name="Game ∆" dataDxfId="16"/>
    <tableColumn id="10" xr3:uid="{4088E10B-7814-4E8A-B704-9742FFA8D9A6}" name="Legacy Avg" dataDxfId="15"/>
    <tableColumn id="11" xr3:uid="{1F225105-91E6-4A09-AB3A-42C7EC7FD8E6}" name="Legacy ∆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955F2-08F8-48FC-9934-00EDF0E16C09}">
  <sheetPr codeName="Sheet1"/>
  <dimension ref="A1:AH123"/>
  <sheetViews>
    <sheetView tabSelected="1" zoomScale="115" zoomScaleNormal="11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7" sqref="B7"/>
    </sheetView>
  </sheetViews>
  <sheetFormatPr defaultRowHeight="14.4" x14ac:dyDescent="0.3"/>
  <cols>
    <col min="1" max="1" width="5.77734375" style="7" customWidth="1"/>
    <col min="2" max="2" width="5.77734375" style="8" customWidth="1"/>
    <col min="3" max="3" width="5.77734375" style="7" customWidth="1"/>
    <col min="4" max="4" width="5.77734375" style="8" customWidth="1"/>
    <col min="5" max="5" width="5.77734375" style="7" customWidth="1"/>
    <col min="6" max="6" width="5.77734375" style="8" customWidth="1"/>
    <col min="7" max="7" width="5.77734375" style="7" customWidth="1"/>
    <col min="8" max="8" width="5.77734375" style="8" customWidth="1"/>
    <col min="9" max="9" width="5.77734375" style="7" customWidth="1"/>
    <col min="10" max="10" width="5.77734375" style="8" customWidth="1"/>
    <col min="11" max="11" width="5.77734375" style="7" customWidth="1"/>
    <col min="12" max="12" width="5.6640625" style="12" customWidth="1"/>
    <col min="13" max="13" width="28.33203125" style="29" bestFit="1" customWidth="1"/>
    <col min="14" max="19" width="14.109375" style="24" customWidth="1"/>
    <col min="20" max="20" width="5.6640625" style="12" customWidth="1"/>
    <col min="21" max="21" width="22.77734375" style="12" customWidth="1"/>
    <col min="22" max="22" width="5.77734375" bestFit="1" customWidth="1"/>
    <col min="23" max="29" width="12.77734375" customWidth="1"/>
    <col min="30" max="34" width="4.21875" style="13" customWidth="1"/>
  </cols>
  <sheetData>
    <row r="1" spans="1:34" ht="60.6" customHeight="1" thickBot="1" x14ac:dyDescent="0.35">
      <c r="C1" s="47" t="str">
        <f ca="1">"Stat Sheet  - "&amp;MID(CELL("filename",C1),FIND("]",CELL("filename",C1))+1,256)</f>
        <v>Stat Sheet  - Template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3" t="s">
        <v>27</v>
      </c>
      <c r="AE1" s="43"/>
      <c r="AF1" s="43"/>
      <c r="AG1" s="43"/>
      <c r="AH1" s="43"/>
    </row>
    <row r="2" spans="1:34" ht="20.399999999999999" thickBot="1" x14ac:dyDescent="0.45">
      <c r="A2" s="49" t="str">
        <f ca="1">"Score Sheet  - "&amp;MID(CELL("filename",A2),FIND("]",CELL("filename",A2))+1,256)</f>
        <v>Score Sheet  - Template</v>
      </c>
      <c r="B2" s="50"/>
      <c r="C2" s="50"/>
      <c r="D2" s="50"/>
      <c r="E2" s="50"/>
      <c r="F2" s="50"/>
      <c r="G2" s="50"/>
      <c r="H2" s="50"/>
      <c r="I2" s="50"/>
      <c r="J2" s="50"/>
      <c r="K2" s="51"/>
      <c r="M2" s="49" t="str">
        <f ca="1">"Statistics  - "&amp;MID(CELL("filename",M2),FIND("]",CELL("filename",M2))+1,256)</f>
        <v>Statistics  - Template</v>
      </c>
      <c r="N2" s="50"/>
      <c r="O2" s="50"/>
      <c r="P2" s="50"/>
      <c r="Q2" s="50"/>
      <c r="R2" s="50"/>
      <c r="S2" s="51"/>
      <c r="U2" s="49" t="str">
        <f ca="1">"Database  - "&amp;MID(CELL("filename",U2),FIND("]",CELL("filename",U2))+1,256)</f>
        <v>Database  - Template</v>
      </c>
      <c r="V2" s="50"/>
      <c r="W2" s="50"/>
      <c r="X2" s="50"/>
      <c r="Y2" s="50"/>
      <c r="Z2" s="50"/>
      <c r="AA2" s="50"/>
      <c r="AB2" s="50"/>
      <c r="AC2" s="51"/>
      <c r="AD2" s="13">
        <v>2</v>
      </c>
      <c r="AE2" s="13">
        <v>3</v>
      </c>
      <c r="AF2" s="13">
        <v>4</v>
      </c>
      <c r="AG2" s="13">
        <v>5</v>
      </c>
    </row>
    <row r="3" spans="1:34" ht="18" thickBot="1" x14ac:dyDescent="0.4">
      <c r="A3" s="9" t="s">
        <v>0</v>
      </c>
      <c r="B3" s="52" t="s">
        <v>3</v>
      </c>
      <c r="C3" s="53"/>
      <c r="D3" s="52" t="s">
        <v>51</v>
      </c>
      <c r="E3" s="53"/>
      <c r="F3" s="52" t="s">
        <v>52</v>
      </c>
      <c r="G3" s="53"/>
      <c r="H3" s="52" t="s">
        <v>2</v>
      </c>
      <c r="I3" s="53"/>
      <c r="J3" s="52" t="s">
        <v>9</v>
      </c>
      <c r="K3" s="53"/>
      <c r="M3" s="44" t="s">
        <v>4</v>
      </c>
      <c r="N3" s="45"/>
      <c r="O3" s="45"/>
      <c r="P3" s="45"/>
      <c r="Q3" s="45"/>
      <c r="R3" s="45"/>
      <c r="S3" s="46"/>
      <c r="U3" s="40" t="s">
        <v>38</v>
      </c>
      <c r="V3" s="40" t="s">
        <v>0</v>
      </c>
      <c r="W3" s="40" t="s">
        <v>15</v>
      </c>
      <c r="X3" s="40" t="s">
        <v>28</v>
      </c>
      <c r="Y3" s="35" t="s">
        <v>47</v>
      </c>
      <c r="Z3" s="40" t="s">
        <v>29</v>
      </c>
      <c r="AA3" s="40" t="s">
        <v>30</v>
      </c>
      <c r="AB3" s="40" t="s">
        <v>17</v>
      </c>
      <c r="AC3" s="35"/>
      <c r="AD3" s="13" t="s">
        <v>41</v>
      </c>
      <c r="AE3" s="13" t="s">
        <v>24</v>
      </c>
      <c r="AF3" s="13" t="s">
        <v>25</v>
      </c>
      <c r="AG3" s="13" t="s">
        <v>26</v>
      </c>
      <c r="AH3" s="13" t="s">
        <v>37</v>
      </c>
    </row>
    <row r="4" spans="1:34" ht="15" thickTop="1" x14ac:dyDescent="0.3">
      <c r="A4" s="10">
        <v>1</v>
      </c>
      <c r="B4" s="1"/>
      <c r="C4" s="2">
        <f>B4</f>
        <v>0</v>
      </c>
      <c r="D4" s="1"/>
      <c r="E4" s="2">
        <f>D4</f>
        <v>0</v>
      </c>
      <c r="F4" s="1"/>
      <c r="G4" s="2">
        <f>F4</f>
        <v>0</v>
      </c>
      <c r="H4" s="1"/>
      <c r="I4" s="2">
        <f>H4</f>
        <v>0</v>
      </c>
      <c r="J4" s="1"/>
      <c r="K4" s="2">
        <f>J4</f>
        <v>0</v>
      </c>
      <c r="M4" s="36" t="s">
        <v>39</v>
      </c>
      <c r="N4" s="19" t="str">
        <f ca="1">MID(CELL("filename",C1),FIND("]",CELL("filename",C1))+1,256)</f>
        <v>Template</v>
      </c>
      <c r="O4" s="19"/>
      <c r="P4" s="19"/>
      <c r="Q4" s="19"/>
      <c r="R4" s="19"/>
      <c r="S4" s="20"/>
      <c r="U4" s="56" t="str">
        <f ca="1">IF(LEN($Y4)&gt;3,$N$4,"")</f>
        <v/>
      </c>
      <c r="V4" s="57" t="str">
        <f>IF((ROW()-COUNTBLANK($T$1:$T$3))&lt;COUNT($B$4:$B$33,$D$4:$D$33,$F$4:$F$33,$H$4:$H$33,$J$4:$J$33)+1,ROW()-COUNTBLANK($T$1:$T$3),"")</f>
        <v/>
      </c>
      <c r="W4" s="16" t="str">
        <f ca="1">IF(_xlfn.NUMBERVALUE($V4)&gt;0,INDIRECT(INDIRECT(HLOOKUP($N$5,$AD$2:$AG$3,2,FALSE)&amp;ROW())&amp;"3"),"")</f>
        <v/>
      </c>
      <c r="X4" s="25" t="str">
        <f ca="1">IF(_xlfn.NUMBERVALUE($V4)&gt;0,INDIRECT(INDIRECT(HLOOKUP($N$5,$AD$2:$AG$3,2,FALSE)&amp;ROW())&amp;COUNTIFS(INDIRECT(HLOOKUP($N$5,$AD$2:$AG$3,2,FALSE)&amp;"4:"&amp;HLOOKUP($N$5,$AD$2:$AG$3,2,FALSE)&amp;ROW()),INDIRECT(HLOOKUP($N$5,$AD$2:$AG$3,2,FALSE)&amp;ROW()))+3),"")</f>
        <v/>
      </c>
      <c r="Y4" s="19" t="str">
        <f ca="1">IF(X4&lt;0,"Deduction",IF(ISNUMBER(X4),"Score",""))</f>
        <v/>
      </c>
      <c r="Z4" s="25" t="str">
        <f>IF(_xlfn.NUMBERVALUE($V4)&gt;0,SUMIFS($X$4:$X4,$W$4:$W4,$W4),"")</f>
        <v/>
      </c>
      <c r="AA4" s="25" t="str">
        <f>IF(_xlfn.NUMBERVALUE($V4)&gt;0,SUMIFS($X$4:$X4,$W$4:$W4,$W4)/COUNTIFS($W$4:$W4,$W4,$Y$4:$Y4,"Score"),"")</f>
        <v/>
      </c>
      <c r="AB4" s="25" t="str">
        <f>IF(_xlfn.NUMBERVALUE($V4)&gt;0,$X4-$AA4,"")</f>
        <v/>
      </c>
      <c r="AC4" s="26"/>
      <c r="AD4" s="13" t="s">
        <v>18</v>
      </c>
      <c r="AE4" s="13" t="s">
        <v>18</v>
      </c>
      <c r="AF4" s="13" t="s">
        <v>18</v>
      </c>
      <c r="AG4" s="13" t="s">
        <v>18</v>
      </c>
      <c r="AH4" s="13">
        <f ca="1">COUNTIFS($X$4:$X4,$X4)</f>
        <v>1</v>
      </c>
    </row>
    <row r="5" spans="1:34" x14ac:dyDescent="0.3">
      <c r="A5" s="10">
        <v>2</v>
      </c>
      <c r="B5" s="1"/>
      <c r="C5" s="2">
        <f t="shared" ref="C5" si="0">C4+B5</f>
        <v>0</v>
      </c>
      <c r="D5" s="1"/>
      <c r="E5" s="2">
        <f t="shared" ref="E5:E7" si="1">E4+D5</f>
        <v>0</v>
      </c>
      <c r="F5" s="1"/>
      <c r="G5" s="2">
        <f t="shared" ref="G5:G7" si="2">G4+F5</f>
        <v>0</v>
      </c>
      <c r="H5" s="1"/>
      <c r="I5" s="2">
        <f t="shared" ref="I5:K7" si="3">I4+H5</f>
        <v>0</v>
      </c>
      <c r="J5" s="1"/>
      <c r="K5" s="2">
        <f t="shared" si="3"/>
        <v>0</v>
      </c>
      <c r="M5" s="36" t="s">
        <v>23</v>
      </c>
      <c r="N5" s="19">
        <f>COUNTA($B$3:$K$3)-1</f>
        <v>4</v>
      </c>
      <c r="O5" s="19"/>
      <c r="P5" s="34"/>
      <c r="Q5" s="34"/>
      <c r="R5" s="34"/>
      <c r="S5" s="20"/>
      <c r="U5" s="55" t="str">
        <f t="shared" ref="U5:U68" ca="1" si="4">IF(LEN($Y5)&gt;3,$N$4,"")</f>
        <v/>
      </c>
      <c r="V5" s="17" t="str">
        <f t="shared" ref="V5:V68" si="5">IF((ROW()-COUNTBLANK($T$1:$T$3))&lt;COUNT($B$4:$B$33,$D$4:$D$33,$F$4:$F$33,$H$4:$H$33,$J$4:$J$33)+1,ROW()-COUNTBLANK($T$1:$T$3),"")</f>
        <v/>
      </c>
      <c r="W5" s="16" t="str">
        <f t="shared" ref="W5:W68" ca="1" si="6">IF(_xlfn.NUMBERVALUE($V5)&gt;0,INDIRECT(INDIRECT(HLOOKUP($N$5,$AD$2:$AG$3,2,FALSE)&amp;ROW())&amp;"3"),"")</f>
        <v/>
      </c>
      <c r="X5" s="25" t="str">
        <f t="shared" ref="X5:X68" ca="1" si="7">IF(_xlfn.NUMBERVALUE($V5)&gt;0,INDIRECT(INDIRECT(HLOOKUP($N$5,$AD$2:$AG$3,2,FALSE)&amp;ROW())&amp;COUNTIFS(INDIRECT(HLOOKUP($N$5,$AD$2:$AG$3,2,FALSE)&amp;"4:"&amp;HLOOKUP($N$5,$AD$2:$AG$3,2,FALSE)&amp;ROW()),INDIRECT(HLOOKUP($N$5,$AD$2:$AG$3,2,FALSE)&amp;ROW()))+3),"")</f>
        <v/>
      </c>
      <c r="Y5" s="19" t="str">
        <f t="shared" ref="Y5:Y68" ca="1" si="8">IF(X5&lt;0,"Deduction",IF(ISNUMBER(X5),"Score",""))</f>
        <v/>
      </c>
      <c r="Z5" s="19" t="str">
        <f>IF(_xlfn.NUMBERVALUE($V5)&gt;0,SUMIFS($X$4:$X5,$W$4:$W5,$W5),"")</f>
        <v/>
      </c>
      <c r="AA5" s="19" t="str">
        <f>IF(_xlfn.NUMBERVALUE($V5)&gt;0,SUMIFS($X$4:$X5,$W$4:$W5,$W5)/COUNTIFS($W$4:$W5,$W5,$Y$4:$Y5,"Score"),"")</f>
        <v/>
      </c>
      <c r="AB5" s="19" t="str">
        <f t="shared" ref="AB5:AB68" si="9">IF(_xlfn.NUMBERVALUE($V5)&gt;0,$X5-$AA5,"")</f>
        <v/>
      </c>
      <c r="AC5" s="26"/>
      <c r="AD5" s="13" t="s">
        <v>19</v>
      </c>
      <c r="AE5" s="13" t="s">
        <v>19</v>
      </c>
      <c r="AF5" s="13" t="s">
        <v>19</v>
      </c>
      <c r="AG5" s="13" t="s">
        <v>19</v>
      </c>
      <c r="AH5" s="13">
        <f ca="1">COUNTIFS($X$4:$X5,$X5)</f>
        <v>2</v>
      </c>
    </row>
    <row r="6" spans="1:34" x14ac:dyDescent="0.3">
      <c r="A6" s="10">
        <v>3</v>
      </c>
      <c r="B6" s="1"/>
      <c r="C6" s="2">
        <f>C5+B6</f>
        <v>0</v>
      </c>
      <c r="D6" s="1"/>
      <c r="E6" s="2">
        <f t="shared" si="1"/>
        <v>0</v>
      </c>
      <c r="F6" s="1"/>
      <c r="G6" s="2">
        <f t="shared" si="2"/>
        <v>0</v>
      </c>
      <c r="H6" s="1"/>
      <c r="I6" s="2">
        <f t="shared" si="3"/>
        <v>0</v>
      </c>
      <c r="J6" s="1"/>
      <c r="K6" s="2">
        <f t="shared" si="3"/>
        <v>0</v>
      </c>
      <c r="M6" s="36" t="s">
        <v>12</v>
      </c>
      <c r="N6" s="19">
        <f ca="1">SUM($X$4:$X$123)</f>
        <v>0</v>
      </c>
      <c r="O6" s="19"/>
      <c r="P6" s="19"/>
      <c r="Q6" s="19"/>
      <c r="R6" s="19"/>
      <c r="S6" s="20"/>
      <c r="U6" s="55" t="str">
        <f t="shared" ca="1" si="4"/>
        <v/>
      </c>
      <c r="V6" s="17" t="str">
        <f t="shared" si="5"/>
        <v/>
      </c>
      <c r="W6" s="16" t="str">
        <f t="shared" ca="1" si="6"/>
        <v/>
      </c>
      <c r="X6" s="25" t="str">
        <f t="shared" ca="1" si="7"/>
        <v/>
      </c>
      <c r="Y6" s="19" t="str">
        <f t="shared" ca="1" si="8"/>
        <v/>
      </c>
      <c r="Z6" s="19" t="str">
        <f>IF(_xlfn.NUMBERVALUE($V6)&gt;0,SUMIFS($X$4:$X6,$W$4:$W6,$W6),"")</f>
        <v/>
      </c>
      <c r="AA6" s="19" t="str">
        <f>IF(_xlfn.NUMBERVALUE($V6)&gt;0,SUMIFS($X$4:$X6,$W$4:$W6,$W6)/COUNTIFS($W$4:$W6,$W6,$Y$4:$Y6,"Score"),"")</f>
        <v/>
      </c>
      <c r="AB6" s="19" t="str">
        <f t="shared" si="9"/>
        <v/>
      </c>
      <c r="AC6" s="26"/>
      <c r="AD6" s="13" t="s">
        <v>18</v>
      </c>
      <c r="AE6" s="13" t="s">
        <v>20</v>
      </c>
      <c r="AF6" s="13" t="s">
        <v>20</v>
      </c>
      <c r="AG6" s="13" t="s">
        <v>20</v>
      </c>
      <c r="AH6" s="13">
        <f ca="1">COUNTIFS($X$4:$X6,$X6)</f>
        <v>3</v>
      </c>
    </row>
    <row r="7" spans="1:34" x14ac:dyDescent="0.3">
      <c r="A7" s="10">
        <v>4</v>
      </c>
      <c r="B7" s="1"/>
      <c r="C7" s="2">
        <f t="shared" ref="C7" si="10">C6+B7</f>
        <v>0</v>
      </c>
      <c r="D7" s="1"/>
      <c r="E7" s="2">
        <f t="shared" si="1"/>
        <v>0</v>
      </c>
      <c r="F7" s="1"/>
      <c r="G7" s="2">
        <f t="shared" si="2"/>
        <v>0</v>
      </c>
      <c r="H7" s="1"/>
      <c r="I7" s="2">
        <f t="shared" si="3"/>
        <v>0</v>
      </c>
      <c r="J7" s="1"/>
      <c r="K7" s="2">
        <f t="shared" si="3"/>
        <v>0</v>
      </c>
      <c r="M7" s="36" t="s">
        <v>13</v>
      </c>
      <c r="N7" s="19" t="str">
        <f ca="1">IFERROR(AVERAGE($X$4:$X$123)," ")</f>
        <v xml:space="preserve"> </v>
      </c>
      <c r="O7" s="19"/>
      <c r="P7" s="19"/>
      <c r="Q7" s="19"/>
      <c r="R7" s="19"/>
      <c r="S7" s="20"/>
      <c r="U7" s="55" t="str">
        <f t="shared" ca="1" si="4"/>
        <v/>
      </c>
      <c r="V7" s="17" t="str">
        <f t="shared" si="5"/>
        <v/>
      </c>
      <c r="W7" s="16" t="str">
        <f t="shared" ca="1" si="6"/>
        <v/>
      </c>
      <c r="X7" s="25" t="str">
        <f t="shared" ca="1" si="7"/>
        <v/>
      </c>
      <c r="Y7" s="19" t="str">
        <f t="shared" ca="1" si="8"/>
        <v/>
      </c>
      <c r="Z7" s="19" t="str">
        <f>IF(_xlfn.NUMBERVALUE($V7)&gt;0,SUMIFS($X$4:$X7,$W$4:$W7,$W7),"")</f>
        <v/>
      </c>
      <c r="AA7" s="19" t="str">
        <f>IF(_xlfn.NUMBERVALUE($V7)&gt;0,SUMIFS($X$4:$X7,$W$4:$W7,$W7)/COUNTIFS($W$4:$W7,$W7,$Y$4:$Y7,"Score"),"")</f>
        <v/>
      </c>
      <c r="AB7" s="19" t="str">
        <f t="shared" si="9"/>
        <v/>
      </c>
      <c r="AC7" s="26"/>
      <c r="AD7" s="13" t="s">
        <v>19</v>
      </c>
      <c r="AE7" s="13" t="s">
        <v>18</v>
      </c>
      <c r="AF7" s="13" t="s">
        <v>21</v>
      </c>
      <c r="AG7" s="13" t="s">
        <v>21</v>
      </c>
      <c r="AH7" s="13">
        <f ca="1">COUNTIFS($X$4:$X7,$X7)</f>
        <v>4</v>
      </c>
    </row>
    <row r="8" spans="1:34" ht="15" thickBot="1" x14ac:dyDescent="0.35">
      <c r="A8" s="10">
        <v>5</v>
      </c>
      <c r="B8" s="1"/>
      <c r="C8" s="2">
        <f t="shared" ref="C8:C33" si="11">C7+B8</f>
        <v>0</v>
      </c>
      <c r="D8" s="1"/>
      <c r="E8" s="2">
        <f t="shared" ref="E8:E33" si="12">E7+D8</f>
        <v>0</v>
      </c>
      <c r="F8" s="1"/>
      <c r="G8" s="2">
        <f t="shared" ref="G8:G33" si="13">G7+F8</f>
        <v>0</v>
      </c>
      <c r="H8" s="1"/>
      <c r="I8" s="2">
        <f t="shared" ref="I8:K20" si="14">I7+H8</f>
        <v>0</v>
      </c>
      <c r="J8" s="1"/>
      <c r="K8" s="2">
        <f t="shared" si="14"/>
        <v>0</v>
      </c>
      <c r="M8" s="36" t="s">
        <v>14</v>
      </c>
      <c r="N8" s="27" t="str">
        <f ca="1">IFERROR(SUMPRODUCT(LARGE($X$4:$X$123,ROW(INDIRECT("1:5"))))," ")</f>
        <v xml:space="preserve"> </v>
      </c>
      <c r="O8" s="19"/>
      <c r="P8" s="19"/>
      <c r="Q8" s="19"/>
      <c r="R8" s="19"/>
      <c r="S8" s="20"/>
      <c r="U8" s="55" t="str">
        <f t="shared" ca="1" si="4"/>
        <v/>
      </c>
      <c r="V8" s="17" t="str">
        <f t="shared" si="5"/>
        <v/>
      </c>
      <c r="W8" s="16" t="str">
        <f t="shared" ca="1" si="6"/>
        <v/>
      </c>
      <c r="X8" s="25" t="str">
        <f t="shared" ca="1" si="7"/>
        <v/>
      </c>
      <c r="Y8" s="19" t="str">
        <f t="shared" ca="1" si="8"/>
        <v/>
      </c>
      <c r="Z8" s="19" t="str">
        <f>IF(_xlfn.NUMBERVALUE($V8)&gt;0,SUMIFS($X$4:$X8,$W$4:$W8,$W8),"")</f>
        <v/>
      </c>
      <c r="AA8" s="19" t="str">
        <f>IF(_xlfn.NUMBERVALUE($V8)&gt;0,SUMIFS($X$4:$X8,$W$4:$W8,$W8)/COUNTIFS($W$4:$W8,$W8,$Y$4:$Y8,"Score"),"")</f>
        <v/>
      </c>
      <c r="AB8" s="19" t="str">
        <f t="shared" si="9"/>
        <v/>
      </c>
      <c r="AC8" s="26"/>
      <c r="AD8" s="13" t="s">
        <v>18</v>
      </c>
      <c r="AE8" s="13" t="s">
        <v>19</v>
      </c>
      <c r="AF8" s="13" t="s">
        <v>18</v>
      </c>
      <c r="AG8" s="13" t="s">
        <v>22</v>
      </c>
      <c r="AH8" s="13">
        <f ca="1">COUNTIFS($X$4:$X8,$X8)</f>
        <v>5</v>
      </c>
    </row>
    <row r="9" spans="1:34" ht="18" thickBot="1" x14ac:dyDescent="0.4">
      <c r="A9" s="10">
        <v>6</v>
      </c>
      <c r="B9" s="1"/>
      <c r="C9" s="2">
        <f t="shared" si="11"/>
        <v>0</v>
      </c>
      <c r="D9" s="1"/>
      <c r="E9" s="2">
        <f t="shared" si="12"/>
        <v>0</v>
      </c>
      <c r="F9" s="1"/>
      <c r="G9" s="2">
        <f t="shared" si="13"/>
        <v>0</v>
      </c>
      <c r="H9" s="1"/>
      <c r="I9" s="2">
        <f t="shared" si="14"/>
        <v>0</v>
      </c>
      <c r="J9" s="1"/>
      <c r="K9" s="2">
        <f t="shared" si="14"/>
        <v>0</v>
      </c>
      <c r="M9" s="44" t="s">
        <v>5</v>
      </c>
      <c r="N9" s="45"/>
      <c r="O9" s="45"/>
      <c r="P9" s="45"/>
      <c r="Q9" s="45"/>
      <c r="R9" s="45"/>
      <c r="S9" s="46"/>
      <c r="U9" s="55" t="str">
        <f t="shared" ca="1" si="4"/>
        <v/>
      </c>
      <c r="V9" s="17" t="str">
        <f t="shared" si="5"/>
        <v/>
      </c>
      <c r="W9" s="16" t="str">
        <f t="shared" ca="1" si="6"/>
        <v/>
      </c>
      <c r="X9" s="25" t="str">
        <f t="shared" ca="1" si="7"/>
        <v/>
      </c>
      <c r="Y9" s="19" t="str">
        <f t="shared" ca="1" si="8"/>
        <v/>
      </c>
      <c r="Z9" s="19" t="str">
        <f>IF(_xlfn.NUMBERVALUE($V9)&gt;0,SUMIFS($X$4:$X9,$W$4:$W9,$W9),"")</f>
        <v/>
      </c>
      <c r="AA9" s="19" t="str">
        <f>IF(_xlfn.NUMBERVALUE($V9)&gt;0,SUMIFS($X$4:$X9,$W$4:$W9,$W9)/COUNTIFS($W$4:$W9,$W9,$Y$4:$Y9,"Score"),"")</f>
        <v/>
      </c>
      <c r="AB9" s="19" t="str">
        <f t="shared" si="9"/>
        <v/>
      </c>
      <c r="AC9" s="26"/>
      <c r="AD9" s="13" t="s">
        <v>19</v>
      </c>
      <c r="AE9" s="13" t="s">
        <v>20</v>
      </c>
      <c r="AF9" s="13" t="s">
        <v>19</v>
      </c>
      <c r="AG9" s="13" t="s">
        <v>18</v>
      </c>
      <c r="AH9" s="13">
        <f ca="1">COUNTIFS($X$4:$X9,$X9)</f>
        <v>6</v>
      </c>
    </row>
    <row r="10" spans="1:34" ht="15" thickTop="1" x14ac:dyDescent="0.3">
      <c r="A10" s="10">
        <v>7</v>
      </c>
      <c r="B10" s="1"/>
      <c r="C10" s="2">
        <f t="shared" si="11"/>
        <v>0</v>
      </c>
      <c r="D10" s="1"/>
      <c r="E10" s="2">
        <f t="shared" si="12"/>
        <v>0</v>
      </c>
      <c r="F10" s="1"/>
      <c r="G10" s="2">
        <f t="shared" si="13"/>
        <v>0</v>
      </c>
      <c r="H10" s="1"/>
      <c r="I10" s="2">
        <f t="shared" si="14"/>
        <v>0</v>
      </c>
      <c r="J10" s="1"/>
      <c r="K10" s="2">
        <f t="shared" si="14"/>
        <v>0</v>
      </c>
      <c r="M10" s="36"/>
      <c r="N10" s="59" t="str">
        <f>IF(ISBLANK(B3)," ",B3)</f>
        <v>Lester</v>
      </c>
      <c r="O10" s="59" t="str">
        <f>IF(ISBLANK(D3)," ",D3)</f>
        <v>Czarina</v>
      </c>
      <c r="P10" s="59" t="str">
        <f>IF(ISBLANK(F3)," ",F3)</f>
        <v>Nicole</v>
      </c>
      <c r="Q10" s="59" t="str">
        <f>IF(ISBLANK(H3)," ",H3)</f>
        <v>Chris</v>
      </c>
      <c r="R10" s="59" t="str">
        <f>IF(ISBLANK(J3)," ",J3)</f>
        <v xml:space="preserve"> </v>
      </c>
      <c r="S10" s="21"/>
      <c r="U10" s="55" t="str">
        <f t="shared" ca="1" si="4"/>
        <v/>
      </c>
      <c r="V10" s="17" t="str">
        <f t="shared" si="5"/>
        <v/>
      </c>
      <c r="W10" s="16" t="str">
        <f t="shared" ca="1" si="6"/>
        <v/>
      </c>
      <c r="X10" s="25" t="str">
        <f t="shared" ca="1" si="7"/>
        <v/>
      </c>
      <c r="Y10" s="19" t="str">
        <f t="shared" ca="1" si="8"/>
        <v/>
      </c>
      <c r="Z10" s="19" t="str">
        <f>IF(_xlfn.NUMBERVALUE($V10)&gt;0,SUMIFS($X$4:$X10,$W$4:$W10,$W10),"")</f>
        <v/>
      </c>
      <c r="AA10" s="19" t="str">
        <f>IF(_xlfn.NUMBERVALUE($V10)&gt;0,SUMIFS($X$4:$X10,$W$4:$W10,$W10)/COUNTIFS($W$4:$W10,$W10,$Y$4:$Y10,"Score"),"")</f>
        <v/>
      </c>
      <c r="AB10" s="19" t="str">
        <f t="shared" si="9"/>
        <v/>
      </c>
      <c r="AC10" s="26"/>
      <c r="AD10" s="13" t="s">
        <v>18</v>
      </c>
      <c r="AE10" s="13" t="s">
        <v>18</v>
      </c>
      <c r="AF10" s="13" t="s">
        <v>20</v>
      </c>
      <c r="AG10" s="13" t="s">
        <v>19</v>
      </c>
      <c r="AH10" s="13">
        <f ca="1">COUNTIFS($X$4:$X10,$X10)</f>
        <v>7</v>
      </c>
    </row>
    <row r="11" spans="1:34" x14ac:dyDescent="0.3">
      <c r="A11" s="10">
        <v>8</v>
      </c>
      <c r="B11" s="1"/>
      <c r="C11" s="2">
        <f t="shared" si="11"/>
        <v>0</v>
      </c>
      <c r="D11" s="1"/>
      <c r="E11" s="2">
        <f t="shared" si="12"/>
        <v>0</v>
      </c>
      <c r="F11" s="1"/>
      <c r="G11" s="2">
        <f t="shared" si="13"/>
        <v>0</v>
      </c>
      <c r="H11" s="1"/>
      <c r="I11" s="2">
        <f t="shared" si="14"/>
        <v>0</v>
      </c>
      <c r="J11" s="1"/>
      <c r="K11" s="2">
        <f t="shared" si="14"/>
        <v>0</v>
      </c>
      <c r="M11" s="36" t="s">
        <v>10</v>
      </c>
      <c r="N11" s="37" t="str">
        <f t="shared" ref="N11:O11" si="15">IF(N12=LARGE($N$12:$R$12,1),"1st",IF(N12=LARGE($N$12:$R$12,2),"2nd",IF(N12=LARGE($N$12:$R$12,3),"3rd",IF(N12=LARGE($N$12:$R$12,4),"4th","5th"))))</f>
        <v>1st</v>
      </c>
      <c r="O11" s="37" t="str">
        <f t="shared" si="15"/>
        <v>1st</v>
      </c>
      <c r="P11" s="37" t="str">
        <f>IF(P12=LARGE($N$12:$R$12,1),"1st",IF(P12=LARGE($N$12:$R$12,2),"2nd",IF(P12=LARGE($N$12:$R$12,3),"3rd",IF(P12=LARGE($N$12:$R$12,4),"4th","5th"))))</f>
        <v>1st</v>
      </c>
      <c r="Q11" s="37" t="str">
        <f t="shared" ref="Q11:R11" si="16">IF(Q12=LARGE($N$12:$R$12,1),"1st",IF(Q12=LARGE($N$12:$R$12,2),"2nd",IF(Q12=LARGE($N$12:$R$12,3),"3rd",IF(Q12=LARGE($N$12:$R$12,4),"4th","5th"))))</f>
        <v>1st</v>
      </c>
      <c r="R11" s="37" t="str">
        <f t="shared" si="16"/>
        <v>1st</v>
      </c>
      <c r="S11" s="20"/>
      <c r="U11" s="55" t="str">
        <f t="shared" ca="1" si="4"/>
        <v/>
      </c>
      <c r="V11" s="17" t="str">
        <f t="shared" si="5"/>
        <v/>
      </c>
      <c r="W11" s="16" t="str">
        <f t="shared" ca="1" si="6"/>
        <v/>
      </c>
      <c r="X11" s="25" t="str">
        <f t="shared" ca="1" si="7"/>
        <v/>
      </c>
      <c r="Y11" s="19" t="str">
        <f t="shared" ca="1" si="8"/>
        <v/>
      </c>
      <c r="Z11" s="19" t="str">
        <f>IF(_xlfn.NUMBERVALUE($V11)&gt;0,SUMIFS($X$4:$X11,$W$4:$W11,$W11),"")</f>
        <v/>
      </c>
      <c r="AA11" s="19" t="str">
        <f>IF(_xlfn.NUMBERVALUE($V11)&gt;0,SUMIFS($X$4:$X11,$W$4:$W11,$W11)/COUNTIFS($W$4:$W11,$W11,$Y$4:$Y11,"Score"),"")</f>
        <v/>
      </c>
      <c r="AB11" s="19" t="str">
        <f t="shared" si="9"/>
        <v/>
      </c>
      <c r="AC11" s="26"/>
      <c r="AD11" s="13" t="s">
        <v>19</v>
      </c>
      <c r="AE11" s="13" t="s">
        <v>19</v>
      </c>
      <c r="AF11" s="13" t="s">
        <v>21</v>
      </c>
      <c r="AG11" s="13" t="s">
        <v>20</v>
      </c>
      <c r="AH11" s="13">
        <f ca="1">COUNTIFS($X$4:$X11,$X11)</f>
        <v>8</v>
      </c>
    </row>
    <row r="12" spans="1:34" x14ac:dyDescent="0.3">
      <c r="A12" s="10">
        <v>9</v>
      </c>
      <c r="B12" s="1"/>
      <c r="C12" s="2">
        <f t="shared" si="11"/>
        <v>0</v>
      </c>
      <c r="D12" s="1"/>
      <c r="E12" s="2">
        <f t="shared" si="12"/>
        <v>0</v>
      </c>
      <c r="F12" s="1"/>
      <c r="G12" s="2">
        <f t="shared" si="13"/>
        <v>0</v>
      </c>
      <c r="H12" s="1"/>
      <c r="I12" s="2">
        <f t="shared" si="14"/>
        <v>0</v>
      </c>
      <c r="J12" s="1"/>
      <c r="K12" s="2">
        <f t="shared" si="14"/>
        <v>0</v>
      </c>
      <c r="M12" s="36" t="s">
        <v>7</v>
      </c>
      <c r="N12" s="19">
        <f>C33</f>
        <v>0</v>
      </c>
      <c r="O12" s="19">
        <f>E33</f>
        <v>0</v>
      </c>
      <c r="P12" s="19">
        <f>G33</f>
        <v>0</v>
      </c>
      <c r="Q12" s="19">
        <f>I33</f>
        <v>0</v>
      </c>
      <c r="R12" s="19">
        <f>K33</f>
        <v>0</v>
      </c>
      <c r="S12" s="20"/>
      <c r="U12" s="55" t="str">
        <f t="shared" ca="1" si="4"/>
        <v/>
      </c>
      <c r="V12" s="17" t="str">
        <f t="shared" si="5"/>
        <v/>
      </c>
      <c r="W12" s="16" t="str">
        <f ca="1">IF(_xlfn.NUMBERVALUE($V12)&gt;0,INDIRECT(INDIRECT(HLOOKUP($N$5,$AD$2:$AG$3,2,FALSE)&amp;ROW())&amp;"3"),"")</f>
        <v/>
      </c>
      <c r="X12" s="25" t="str">
        <f t="shared" ca="1" si="7"/>
        <v/>
      </c>
      <c r="Y12" s="19" t="str">
        <f t="shared" ca="1" si="8"/>
        <v/>
      </c>
      <c r="Z12" s="19" t="str">
        <f>IF(_xlfn.NUMBERVALUE($V12)&gt;0,SUMIFS($X$4:$X12,$W$4:$W12,$W12),"")</f>
        <v/>
      </c>
      <c r="AA12" s="19" t="str">
        <f>IF(_xlfn.NUMBERVALUE($V12)&gt;0,SUMIFS($X$4:$X12,$W$4:$W12,$W12)/COUNTIFS($W$4:$W12,$W12,$Y$4:$Y12,"Score"),"")</f>
        <v/>
      </c>
      <c r="AB12" s="19" t="str">
        <f t="shared" si="9"/>
        <v/>
      </c>
      <c r="AC12" s="26"/>
      <c r="AD12" s="13" t="s">
        <v>18</v>
      </c>
      <c r="AE12" s="13" t="s">
        <v>20</v>
      </c>
      <c r="AF12" s="13" t="s">
        <v>18</v>
      </c>
      <c r="AG12" s="13" t="s">
        <v>21</v>
      </c>
      <c r="AH12" s="13">
        <f ca="1">COUNTIFS($X$4:$X12,$X12)</f>
        <v>9</v>
      </c>
    </row>
    <row r="13" spans="1:34" x14ac:dyDescent="0.3">
      <c r="A13" s="10">
        <v>10</v>
      </c>
      <c r="B13" s="1"/>
      <c r="C13" s="2">
        <f t="shared" si="11"/>
        <v>0</v>
      </c>
      <c r="D13" s="1"/>
      <c r="E13" s="2">
        <f t="shared" si="12"/>
        <v>0</v>
      </c>
      <c r="F13" s="1"/>
      <c r="G13" s="2">
        <f t="shared" si="13"/>
        <v>0</v>
      </c>
      <c r="H13" s="1"/>
      <c r="I13" s="2">
        <f t="shared" si="14"/>
        <v>0</v>
      </c>
      <c r="J13" s="1"/>
      <c r="K13" s="2">
        <f t="shared" si="14"/>
        <v>0</v>
      </c>
      <c r="M13" s="36" t="s">
        <v>8</v>
      </c>
      <c r="N13" s="19">
        <f ca="1">IFERROR(SUMIFS($X$4:$X$123,$W$4:$W$123,N$10)/COUNTIFS($Y$4:$Y$123,"Score",$W$4:$W$123,N$10),0)</f>
        <v>0</v>
      </c>
      <c r="O13" s="19">
        <f ca="1">IFERROR(SUMIFS($X$4:$X$123,$W$4:$W$123,O$10)/COUNTIFS($Y$4:$Y$123,"Score",$W$4:$W$123,O$10),0)</f>
        <v>0</v>
      </c>
      <c r="P13" s="19">
        <f ca="1">IFERROR(SUMIFS($X$4:$X$123,$W$4:$W$123,P$10)/COUNTIFS($Y$4:$Y$123,"Score",$W$4:$W$123,P$10),0)</f>
        <v>0</v>
      </c>
      <c r="Q13" s="19">
        <f ca="1">IFERROR(SUMIFS($X$4:$X$123,$W$4:$W$123,Q$10)/COUNTIFS($Y$4:$Y$123,"Score",$W$4:$W$123,Q$10),0)</f>
        <v>0</v>
      </c>
      <c r="R13" s="19">
        <f ca="1">IFERROR(SUMIFS($X$4:$X$123,$W$4:$W$123,R$10)/COUNTIFS($Y$4:$Y$123,"Score",$W$4:$W$123,R$10),0)</f>
        <v>0</v>
      </c>
      <c r="S13" s="20"/>
      <c r="U13" s="55" t="str">
        <f t="shared" ca="1" si="4"/>
        <v/>
      </c>
      <c r="V13" s="17" t="str">
        <f t="shared" si="5"/>
        <v/>
      </c>
      <c r="W13" s="16" t="str">
        <f t="shared" ca="1" si="6"/>
        <v/>
      </c>
      <c r="X13" s="25" t="str">
        <f t="shared" ca="1" si="7"/>
        <v/>
      </c>
      <c r="Y13" s="19" t="str">
        <f t="shared" ca="1" si="8"/>
        <v/>
      </c>
      <c r="Z13" s="19" t="str">
        <f>IF(_xlfn.NUMBERVALUE($V13)&gt;0,SUMIFS($X$4:$X13,$W$4:$W13,$W13),"")</f>
        <v/>
      </c>
      <c r="AA13" s="19" t="str">
        <f>IF(_xlfn.NUMBERVALUE($V13)&gt;0,SUMIFS($X$4:$X13,$W$4:$W13,$W13)/COUNTIFS($W$4:$W13,$W13,$Y$4:$Y13,"Score"),"")</f>
        <v/>
      </c>
      <c r="AB13" s="19" t="str">
        <f t="shared" si="9"/>
        <v/>
      </c>
      <c r="AC13" s="26"/>
      <c r="AD13" s="13" t="s">
        <v>19</v>
      </c>
      <c r="AE13" s="13" t="s">
        <v>18</v>
      </c>
      <c r="AF13" s="13" t="s">
        <v>19</v>
      </c>
      <c r="AG13" s="13" t="s">
        <v>22</v>
      </c>
      <c r="AH13" s="13">
        <f ca="1">COUNTIFS($X$4:$X13,$X13)</f>
        <v>10</v>
      </c>
    </row>
    <row r="14" spans="1:34" x14ac:dyDescent="0.3">
      <c r="A14" s="10">
        <v>11</v>
      </c>
      <c r="B14" s="1"/>
      <c r="C14" s="2">
        <f t="shared" si="11"/>
        <v>0</v>
      </c>
      <c r="D14" s="1"/>
      <c r="E14" s="2">
        <f t="shared" si="12"/>
        <v>0</v>
      </c>
      <c r="F14" s="1"/>
      <c r="G14" s="2">
        <f t="shared" si="13"/>
        <v>0</v>
      </c>
      <c r="H14" s="1"/>
      <c r="I14" s="2">
        <f t="shared" si="14"/>
        <v>0</v>
      </c>
      <c r="J14" s="1"/>
      <c r="K14" s="2">
        <f t="shared" si="14"/>
        <v>0</v>
      </c>
      <c r="M14" s="36" t="s">
        <v>45</v>
      </c>
      <c r="N14" s="39"/>
      <c r="O14" s="39"/>
      <c r="P14" s="39"/>
      <c r="Q14" s="39"/>
      <c r="R14" s="39"/>
      <c r="S14" s="20"/>
      <c r="U14" s="55" t="str">
        <f t="shared" ca="1" si="4"/>
        <v/>
      </c>
      <c r="V14" s="17" t="str">
        <f t="shared" si="5"/>
        <v/>
      </c>
      <c r="W14" s="16" t="str">
        <f t="shared" ca="1" si="6"/>
        <v/>
      </c>
      <c r="X14" s="25" t="str">
        <f t="shared" ca="1" si="7"/>
        <v/>
      </c>
      <c r="Y14" s="19" t="str">
        <f t="shared" ca="1" si="8"/>
        <v/>
      </c>
      <c r="Z14" s="19" t="str">
        <f>IF(_xlfn.NUMBERVALUE($V14)&gt;0,SUMIFS($X$4:$X14,$W$4:$W14,$W14),"")</f>
        <v/>
      </c>
      <c r="AA14" s="19" t="str">
        <f>IF(_xlfn.NUMBERVALUE($V14)&gt;0,SUMIFS($X$4:$X14,$W$4:$W14,$W14)/COUNTIFS($W$4:$W14,$W14,$Y$4:$Y14,"Score"),"")</f>
        <v/>
      </c>
      <c r="AB14" s="19" t="str">
        <f t="shared" si="9"/>
        <v/>
      </c>
      <c r="AC14" s="26"/>
      <c r="AD14" s="13" t="s">
        <v>18</v>
      </c>
      <c r="AE14" s="13" t="s">
        <v>19</v>
      </c>
      <c r="AF14" s="13" t="s">
        <v>20</v>
      </c>
      <c r="AG14" s="13" t="s">
        <v>18</v>
      </c>
      <c r="AH14" s="13">
        <f ca="1">COUNTIFS($X$4:$X14,$X14)</f>
        <v>11</v>
      </c>
    </row>
    <row r="15" spans="1:34" ht="15" thickBot="1" x14ac:dyDescent="0.35">
      <c r="A15" s="10">
        <v>12</v>
      </c>
      <c r="B15" s="1"/>
      <c r="C15" s="2">
        <f t="shared" si="11"/>
        <v>0</v>
      </c>
      <c r="D15" s="1"/>
      <c r="E15" s="2">
        <f t="shared" si="12"/>
        <v>0</v>
      </c>
      <c r="F15" s="1"/>
      <c r="G15" s="2">
        <f t="shared" si="13"/>
        <v>0</v>
      </c>
      <c r="H15" s="1"/>
      <c r="I15" s="2">
        <f t="shared" si="14"/>
        <v>0</v>
      </c>
      <c r="J15" s="1"/>
      <c r="K15" s="2">
        <f t="shared" si="14"/>
        <v>0</v>
      </c>
      <c r="M15" s="36"/>
      <c r="N15" s="19"/>
      <c r="O15" s="19"/>
      <c r="P15" s="19"/>
      <c r="Q15" s="19"/>
      <c r="R15" s="19"/>
      <c r="S15" s="20"/>
      <c r="U15" s="55" t="str">
        <f t="shared" ca="1" si="4"/>
        <v/>
      </c>
      <c r="V15" s="17" t="str">
        <f t="shared" si="5"/>
        <v/>
      </c>
      <c r="W15" s="16" t="str">
        <f t="shared" ca="1" si="6"/>
        <v/>
      </c>
      <c r="X15" s="25" t="str">
        <f t="shared" ca="1" si="7"/>
        <v/>
      </c>
      <c r="Y15" s="19" t="str">
        <f t="shared" ca="1" si="8"/>
        <v/>
      </c>
      <c r="Z15" s="19" t="str">
        <f>IF(_xlfn.NUMBERVALUE($V15)&gt;0,SUMIFS($X$4:$X15,$W$4:$W15,$W15),"")</f>
        <v/>
      </c>
      <c r="AA15" s="19" t="str">
        <f>IF(_xlfn.NUMBERVALUE($V15)&gt;0,SUMIFS($X$4:$X15,$W$4:$W15,$W15)/COUNTIFS($W$4:$W15,$W15,$Y$4:$Y15,"Score"),"")</f>
        <v/>
      </c>
      <c r="AB15" s="19" t="str">
        <f t="shared" si="9"/>
        <v/>
      </c>
      <c r="AC15" s="26"/>
      <c r="AD15" s="13" t="s">
        <v>19</v>
      </c>
      <c r="AE15" s="13" t="s">
        <v>20</v>
      </c>
      <c r="AF15" s="13" t="s">
        <v>21</v>
      </c>
      <c r="AG15" s="13" t="s">
        <v>19</v>
      </c>
      <c r="AH15" s="13">
        <f ca="1">COUNTIFS($X$4:$X15,$X15)</f>
        <v>12</v>
      </c>
    </row>
    <row r="16" spans="1:34" ht="18" thickBot="1" x14ac:dyDescent="0.4">
      <c r="A16" s="10">
        <v>13</v>
      </c>
      <c r="B16" s="1"/>
      <c r="C16" s="2">
        <f t="shared" si="11"/>
        <v>0</v>
      </c>
      <c r="D16" s="1"/>
      <c r="E16" s="2">
        <f t="shared" si="12"/>
        <v>0</v>
      </c>
      <c r="F16" s="1"/>
      <c r="G16" s="2">
        <f t="shared" si="13"/>
        <v>0</v>
      </c>
      <c r="H16" s="1"/>
      <c r="I16" s="2">
        <f t="shared" si="14"/>
        <v>0</v>
      </c>
      <c r="J16" s="1"/>
      <c r="K16" s="2">
        <f t="shared" si="14"/>
        <v>0</v>
      </c>
      <c r="M16" s="44" t="s">
        <v>6</v>
      </c>
      <c r="N16" s="45"/>
      <c r="O16" s="45"/>
      <c r="P16" s="45"/>
      <c r="Q16" s="45"/>
      <c r="R16" s="45"/>
      <c r="S16" s="46"/>
      <c r="U16" s="55" t="str">
        <f t="shared" ca="1" si="4"/>
        <v/>
      </c>
      <c r="V16" s="17" t="str">
        <f t="shared" si="5"/>
        <v/>
      </c>
      <c r="W16" s="16" t="str">
        <f t="shared" ca="1" si="6"/>
        <v/>
      </c>
      <c r="X16" s="25" t="str">
        <f t="shared" ca="1" si="7"/>
        <v/>
      </c>
      <c r="Y16" s="19" t="str">
        <f t="shared" ca="1" si="8"/>
        <v/>
      </c>
      <c r="Z16" s="19" t="str">
        <f>IF(_xlfn.NUMBERVALUE($V16)&gt;0,SUMIFS($X$4:$X16,$W$4:$W16,$W16),"")</f>
        <v/>
      </c>
      <c r="AA16" s="19" t="str">
        <f>IF(_xlfn.NUMBERVALUE($V16)&gt;0,SUMIFS($X$4:$X16,$W$4:$W16,$W16)/COUNTIFS($W$4:$W16,$W16,$Y$4:$Y16,"Score"),"")</f>
        <v/>
      </c>
      <c r="AB16" s="19" t="str">
        <f t="shared" si="9"/>
        <v/>
      </c>
      <c r="AC16" s="20"/>
      <c r="AD16" s="13" t="s">
        <v>18</v>
      </c>
      <c r="AE16" s="13" t="s">
        <v>18</v>
      </c>
      <c r="AF16" s="13" t="s">
        <v>18</v>
      </c>
      <c r="AG16" s="13" t="s">
        <v>20</v>
      </c>
      <c r="AH16" s="13">
        <f ca="1">COUNTIFS($X$4:$X16,$X16)</f>
        <v>13</v>
      </c>
    </row>
    <row r="17" spans="1:34" ht="15" thickTop="1" x14ac:dyDescent="0.3">
      <c r="A17" s="10">
        <v>14</v>
      </c>
      <c r="B17" s="1"/>
      <c r="C17" s="2">
        <f t="shared" si="11"/>
        <v>0</v>
      </c>
      <c r="D17" s="1"/>
      <c r="E17" s="2">
        <f t="shared" si="12"/>
        <v>0</v>
      </c>
      <c r="F17" s="1"/>
      <c r="G17" s="2">
        <f t="shared" si="13"/>
        <v>0</v>
      </c>
      <c r="H17" s="1"/>
      <c r="I17" s="2">
        <f t="shared" si="14"/>
        <v>0</v>
      </c>
      <c r="J17" s="1"/>
      <c r="K17" s="2">
        <f t="shared" si="14"/>
        <v>0</v>
      </c>
      <c r="M17" s="36" t="s">
        <v>11</v>
      </c>
      <c r="N17" s="19" t="str">
        <f>INDEX($N$10:$R$11,1,MATCH("1st",$N$11:$R$11,FALSE))</f>
        <v>Lester</v>
      </c>
      <c r="O17" s="19"/>
      <c r="P17" s="19"/>
      <c r="Q17" s="19"/>
      <c r="R17" s="19"/>
      <c r="S17" s="20"/>
      <c r="U17" s="55" t="str">
        <f t="shared" ca="1" si="4"/>
        <v/>
      </c>
      <c r="V17" s="17" t="str">
        <f t="shared" si="5"/>
        <v/>
      </c>
      <c r="W17" s="16" t="str">
        <f t="shared" ca="1" si="6"/>
        <v/>
      </c>
      <c r="X17" s="25" t="str">
        <f t="shared" ca="1" si="7"/>
        <v/>
      </c>
      <c r="Y17" s="19" t="str">
        <f t="shared" ca="1" si="8"/>
        <v/>
      </c>
      <c r="Z17" s="19" t="str">
        <f>IF(_xlfn.NUMBERVALUE($V17)&gt;0,SUMIFS($X$4:$X17,$W$4:$W17,$W17),"")</f>
        <v/>
      </c>
      <c r="AA17" s="19" t="str">
        <f>IF(_xlfn.NUMBERVALUE($V17)&gt;0,SUMIFS($X$4:$X17,$W$4:$W17,$W17)/COUNTIFS($W$4:$W17,$W17,$Y$4:$Y17,"Score"),"")</f>
        <v/>
      </c>
      <c r="AB17" s="19" t="str">
        <f t="shared" si="9"/>
        <v/>
      </c>
      <c r="AC17" s="20"/>
      <c r="AD17" s="13" t="s">
        <v>19</v>
      </c>
      <c r="AE17" s="13" t="s">
        <v>19</v>
      </c>
      <c r="AF17" s="13" t="s">
        <v>19</v>
      </c>
      <c r="AG17" s="13" t="s">
        <v>21</v>
      </c>
      <c r="AH17" s="13">
        <f ca="1">COUNTIFS($X$4:$X17,$X17)</f>
        <v>14</v>
      </c>
    </row>
    <row r="18" spans="1:34" x14ac:dyDescent="0.3">
      <c r="A18" s="10">
        <v>15</v>
      </c>
      <c r="B18" s="1"/>
      <c r="C18" s="2">
        <f t="shared" si="11"/>
        <v>0</v>
      </c>
      <c r="D18" s="1"/>
      <c r="E18" s="2">
        <f t="shared" si="12"/>
        <v>0</v>
      </c>
      <c r="F18" s="1"/>
      <c r="G18" s="2">
        <f t="shared" si="13"/>
        <v>0</v>
      </c>
      <c r="H18" s="1"/>
      <c r="I18" s="2">
        <f t="shared" si="14"/>
        <v>0</v>
      </c>
      <c r="J18" s="1"/>
      <c r="K18" s="2">
        <f t="shared" si="14"/>
        <v>0</v>
      </c>
      <c r="M18" s="36" t="s">
        <v>42</v>
      </c>
      <c r="N18" s="38"/>
      <c r="O18" s="19"/>
      <c r="P18" s="19"/>
      <c r="Q18" s="19"/>
      <c r="R18" s="19"/>
      <c r="S18" s="20"/>
      <c r="U18" s="55" t="str">
        <f t="shared" ca="1" si="4"/>
        <v/>
      </c>
      <c r="V18" s="17" t="str">
        <f t="shared" si="5"/>
        <v/>
      </c>
      <c r="W18" s="16" t="str">
        <f t="shared" ca="1" si="6"/>
        <v/>
      </c>
      <c r="X18" s="25" t="str">
        <f t="shared" ca="1" si="7"/>
        <v/>
      </c>
      <c r="Y18" s="19" t="str">
        <f t="shared" ca="1" si="8"/>
        <v/>
      </c>
      <c r="Z18" s="19" t="str">
        <f>IF(_xlfn.NUMBERVALUE($V18)&gt;0,SUMIFS($X$4:$X18,$W$4:$W18,$W18),"")</f>
        <v/>
      </c>
      <c r="AA18" s="19" t="str">
        <f>IF(_xlfn.NUMBERVALUE($V18)&gt;0,SUMIFS($X$4:$X18,$W$4:$W18,$W18)/COUNTIFS($W$4:$W18,$W18,$Y$4:$Y18,"Score"),"")</f>
        <v/>
      </c>
      <c r="AB18" s="19" t="str">
        <f t="shared" si="9"/>
        <v/>
      </c>
      <c r="AC18" s="20"/>
      <c r="AD18" s="13" t="s">
        <v>18</v>
      </c>
      <c r="AE18" s="13" t="s">
        <v>20</v>
      </c>
      <c r="AF18" s="13" t="s">
        <v>20</v>
      </c>
      <c r="AG18" s="13" t="s">
        <v>22</v>
      </c>
      <c r="AH18" s="13">
        <f ca="1">COUNTIFS($X$4:$X18,$X18)</f>
        <v>15</v>
      </c>
    </row>
    <row r="19" spans="1:34" x14ac:dyDescent="0.3">
      <c r="A19" s="10">
        <v>16</v>
      </c>
      <c r="B19" s="1"/>
      <c r="C19" s="2">
        <f t="shared" si="11"/>
        <v>0</v>
      </c>
      <c r="D19" s="1"/>
      <c r="E19" s="2">
        <f t="shared" si="12"/>
        <v>0</v>
      </c>
      <c r="F19" s="1"/>
      <c r="G19" s="2">
        <f t="shared" si="13"/>
        <v>0</v>
      </c>
      <c r="H19" s="1"/>
      <c r="I19" s="2">
        <f t="shared" si="14"/>
        <v>0</v>
      </c>
      <c r="J19" s="1"/>
      <c r="K19" s="2">
        <f t="shared" si="14"/>
        <v>0</v>
      </c>
      <c r="M19" s="36" t="s">
        <v>43</v>
      </c>
      <c r="N19" s="39"/>
      <c r="O19" s="19"/>
      <c r="P19" s="19"/>
      <c r="Q19" s="19"/>
      <c r="R19" s="19"/>
      <c r="S19" s="20"/>
      <c r="U19" s="55" t="str">
        <f t="shared" ca="1" si="4"/>
        <v/>
      </c>
      <c r="V19" s="17" t="str">
        <f t="shared" si="5"/>
        <v/>
      </c>
      <c r="W19" s="17" t="str">
        <f t="shared" ca="1" si="6"/>
        <v/>
      </c>
      <c r="X19" s="19" t="str">
        <f t="shared" ca="1" si="7"/>
        <v/>
      </c>
      <c r="Y19" s="19" t="str">
        <f t="shared" ca="1" si="8"/>
        <v/>
      </c>
      <c r="Z19" s="19" t="str">
        <f>IF(_xlfn.NUMBERVALUE($V19)&gt;0,SUMIFS($X$4:$X19,$W$4:$W19,$W19),"")</f>
        <v/>
      </c>
      <c r="AA19" s="19" t="str">
        <f>IF(_xlfn.NUMBERVALUE($V19)&gt;0,SUMIFS($X$4:$X19,$W$4:$W19,$W19)/COUNTIFS($W$4:$W19,$W19,$Y$4:$Y19,"Score"),"")</f>
        <v/>
      </c>
      <c r="AB19" s="19" t="str">
        <f t="shared" si="9"/>
        <v/>
      </c>
      <c r="AC19" s="20"/>
      <c r="AD19" s="13" t="s">
        <v>19</v>
      </c>
      <c r="AE19" s="13" t="s">
        <v>18</v>
      </c>
      <c r="AF19" s="13" t="s">
        <v>21</v>
      </c>
      <c r="AG19" s="13" t="s">
        <v>18</v>
      </c>
      <c r="AH19" s="13">
        <f ca="1">COUNTIFS($X$4:$X19,$X19)</f>
        <v>16</v>
      </c>
    </row>
    <row r="20" spans="1:34" x14ac:dyDescent="0.3">
      <c r="A20" s="10">
        <v>17</v>
      </c>
      <c r="B20" s="1"/>
      <c r="C20" s="2">
        <f t="shared" si="11"/>
        <v>0</v>
      </c>
      <c r="D20" s="1"/>
      <c r="E20" s="2">
        <f t="shared" si="12"/>
        <v>0</v>
      </c>
      <c r="F20" s="1"/>
      <c r="G20" s="2">
        <f t="shared" si="13"/>
        <v>0</v>
      </c>
      <c r="H20" s="1"/>
      <c r="I20" s="2">
        <f t="shared" si="14"/>
        <v>0</v>
      </c>
      <c r="J20" s="1"/>
      <c r="K20" s="2">
        <f t="shared" si="14"/>
        <v>0</v>
      </c>
      <c r="M20" s="36" t="s">
        <v>44</v>
      </c>
      <c r="N20" s="39"/>
      <c r="O20" s="19"/>
      <c r="P20" s="19"/>
      <c r="Q20" s="19"/>
      <c r="R20" s="19"/>
      <c r="S20" s="20"/>
      <c r="U20" s="55" t="str">
        <f t="shared" ca="1" si="4"/>
        <v/>
      </c>
      <c r="V20" s="17" t="str">
        <f t="shared" si="5"/>
        <v/>
      </c>
      <c r="W20" s="17" t="str">
        <f t="shared" ca="1" si="6"/>
        <v/>
      </c>
      <c r="X20" s="19" t="str">
        <f t="shared" ca="1" si="7"/>
        <v/>
      </c>
      <c r="Y20" s="19" t="str">
        <f t="shared" ca="1" si="8"/>
        <v/>
      </c>
      <c r="Z20" s="19" t="str">
        <f>IF(_xlfn.NUMBERVALUE($V20)&gt;0,SUMIFS($X$4:$X20,$W$4:$W20,$W20),"")</f>
        <v/>
      </c>
      <c r="AA20" s="19" t="str">
        <f>IF(_xlfn.NUMBERVALUE($V20)&gt;0,SUMIFS($X$4:$X20,$W$4:$W20,$W20)/COUNTIFS($W$4:$W20,$W20,$Y$4:$Y20,"Score"),"")</f>
        <v/>
      </c>
      <c r="AB20" s="19" t="str">
        <f t="shared" si="9"/>
        <v/>
      </c>
      <c r="AC20" s="20"/>
      <c r="AD20" s="13" t="s">
        <v>18</v>
      </c>
      <c r="AE20" s="13" t="s">
        <v>19</v>
      </c>
      <c r="AF20" s="13" t="s">
        <v>18</v>
      </c>
      <c r="AG20" s="13" t="s">
        <v>19</v>
      </c>
      <c r="AH20" s="13">
        <f ca="1">COUNTIFS($X$4:$X20,$X20)</f>
        <v>17</v>
      </c>
    </row>
    <row r="21" spans="1:34" x14ac:dyDescent="0.3">
      <c r="A21" s="10">
        <v>18</v>
      </c>
      <c r="B21" s="1"/>
      <c r="C21" s="2">
        <f t="shared" si="11"/>
        <v>0</v>
      </c>
      <c r="D21" s="1"/>
      <c r="E21" s="2">
        <f t="shared" si="12"/>
        <v>0</v>
      </c>
      <c r="F21" s="1"/>
      <c r="G21" s="2">
        <f t="shared" si="13"/>
        <v>0</v>
      </c>
      <c r="H21" s="1"/>
      <c r="I21" s="2">
        <f t="shared" ref="I21:I33" si="17">I20+H21</f>
        <v>0</v>
      </c>
      <c r="J21" s="1"/>
      <c r="K21" s="2">
        <f t="shared" ref="K21:K33" si="18">K20+J21</f>
        <v>0</v>
      </c>
      <c r="M21" s="41" t="s">
        <v>31</v>
      </c>
      <c r="N21" s="19"/>
      <c r="O21" s="19" t="s">
        <v>32</v>
      </c>
      <c r="P21" s="19" t="s">
        <v>33</v>
      </c>
      <c r="Q21" s="19" t="s">
        <v>34</v>
      </c>
      <c r="R21" s="19" t="s">
        <v>35</v>
      </c>
      <c r="S21" s="20" t="s">
        <v>36</v>
      </c>
      <c r="U21" s="55" t="str">
        <f t="shared" ca="1" si="4"/>
        <v/>
      </c>
      <c r="V21" s="17" t="str">
        <f t="shared" si="5"/>
        <v/>
      </c>
      <c r="W21" s="17" t="str">
        <f t="shared" ca="1" si="6"/>
        <v/>
      </c>
      <c r="X21" s="19" t="str">
        <f t="shared" ca="1" si="7"/>
        <v/>
      </c>
      <c r="Y21" s="19" t="str">
        <f t="shared" ca="1" si="8"/>
        <v/>
      </c>
      <c r="Z21" s="19" t="str">
        <f>IF(_xlfn.NUMBERVALUE($V21)&gt;0,SUMIFS($X$4:$X21,$W$4:$W21,$W21),"")</f>
        <v/>
      </c>
      <c r="AA21" s="19" t="str">
        <f>IF(_xlfn.NUMBERVALUE($V21)&gt;0,SUMIFS($X$4:$X21,$W$4:$W21,$W21)/COUNTIFS($W$4:$W21,$W21,$Y$4:$Y21,"Score"),"")</f>
        <v/>
      </c>
      <c r="AB21" s="19" t="str">
        <f t="shared" si="9"/>
        <v/>
      </c>
      <c r="AC21" s="20"/>
      <c r="AD21" s="13" t="s">
        <v>19</v>
      </c>
      <c r="AE21" s="13" t="s">
        <v>20</v>
      </c>
      <c r="AF21" s="13" t="s">
        <v>19</v>
      </c>
      <c r="AG21" s="13" t="s">
        <v>20</v>
      </c>
      <c r="AH21" s="13">
        <f ca="1">COUNTIFS($X$4:$X21,$X21)</f>
        <v>18</v>
      </c>
    </row>
    <row r="22" spans="1:34" x14ac:dyDescent="0.3">
      <c r="A22" s="10">
        <v>19</v>
      </c>
      <c r="B22" s="1"/>
      <c r="C22" s="2">
        <f t="shared" si="11"/>
        <v>0</v>
      </c>
      <c r="D22" s="1"/>
      <c r="E22" s="2">
        <f t="shared" si="12"/>
        <v>0</v>
      </c>
      <c r="F22" s="1"/>
      <c r="G22" s="2">
        <f t="shared" si="13"/>
        <v>0</v>
      </c>
      <c r="H22" s="1"/>
      <c r="I22" s="2">
        <f t="shared" si="17"/>
        <v>0</v>
      </c>
      <c r="J22" s="1"/>
      <c r="K22" s="2">
        <f t="shared" si="18"/>
        <v>0</v>
      </c>
      <c r="M22" s="41"/>
      <c r="N22" s="19" t="s">
        <v>16</v>
      </c>
      <c r="O22" s="19" t="str">
        <f ca="1">IFERROR(LARGE($X$4:$X$123,LEFT(O$21,1))," ")</f>
        <v xml:space="preserve"> </v>
      </c>
      <c r="P22" s="19" t="str">
        <f ca="1">IFERROR(LARGE($X$4:$X$123,LEFT(P$21,1))," ")</f>
        <v xml:space="preserve"> </v>
      </c>
      <c r="Q22" s="19" t="str">
        <f ca="1">IFERROR(LARGE($X$4:$X$123,LEFT(Q$21,1))," ")</f>
        <v xml:space="preserve"> </v>
      </c>
      <c r="R22" s="19" t="str">
        <f ca="1">IFERROR(LARGE($X$4:$X$123,LEFT(R$21,1))," ")</f>
        <v xml:space="preserve"> </v>
      </c>
      <c r="S22" s="20" t="str">
        <f ca="1">IFERROR(LARGE($X$4:$X$123,LEFT(S$21,1))," ")</f>
        <v xml:space="preserve"> </v>
      </c>
      <c r="T22" s="33"/>
      <c r="U22" s="55" t="str">
        <f t="shared" ca="1" si="4"/>
        <v/>
      </c>
      <c r="V22" s="17" t="str">
        <f t="shared" si="5"/>
        <v/>
      </c>
      <c r="W22" s="17" t="str">
        <f t="shared" ca="1" si="6"/>
        <v/>
      </c>
      <c r="X22" s="19" t="str">
        <f t="shared" ca="1" si="7"/>
        <v/>
      </c>
      <c r="Y22" s="19" t="str">
        <f t="shared" ca="1" si="8"/>
        <v/>
      </c>
      <c r="Z22" s="19" t="str">
        <f>IF(_xlfn.NUMBERVALUE($V22)&gt;0,SUMIFS($X$4:$X22,$W$4:$W22,$W22),"")</f>
        <v/>
      </c>
      <c r="AA22" s="19" t="str">
        <f>IF(_xlfn.NUMBERVALUE($V22)&gt;0,SUMIFS($X$4:$X22,$W$4:$W22,$W22)/COUNTIFS($W$4:$W22,$W22,$Y$4:$Y22,"Score"),"")</f>
        <v/>
      </c>
      <c r="AB22" s="19" t="str">
        <f t="shared" si="9"/>
        <v/>
      </c>
      <c r="AC22" s="20"/>
      <c r="AD22" s="13" t="s">
        <v>18</v>
      </c>
      <c r="AE22" s="13" t="s">
        <v>18</v>
      </c>
      <c r="AF22" s="13" t="s">
        <v>20</v>
      </c>
      <c r="AG22" s="13" t="s">
        <v>21</v>
      </c>
      <c r="AH22" s="13">
        <f ca="1">COUNTIFS($X$4:$X22,$X22)</f>
        <v>19</v>
      </c>
    </row>
    <row r="23" spans="1:34" ht="15" thickBot="1" x14ac:dyDescent="0.35">
      <c r="A23" s="10">
        <v>20</v>
      </c>
      <c r="B23" s="1"/>
      <c r="C23" s="2">
        <f t="shared" si="11"/>
        <v>0</v>
      </c>
      <c r="D23" s="1"/>
      <c r="E23" s="2">
        <f t="shared" si="12"/>
        <v>0</v>
      </c>
      <c r="F23" s="1"/>
      <c r="G23" s="2">
        <f t="shared" si="13"/>
        <v>0</v>
      </c>
      <c r="H23" s="1"/>
      <c r="I23" s="2">
        <f t="shared" si="17"/>
        <v>0</v>
      </c>
      <c r="J23" s="1"/>
      <c r="K23" s="2">
        <f t="shared" si="18"/>
        <v>0</v>
      </c>
      <c r="M23" s="42"/>
      <c r="N23" s="22" t="s">
        <v>15</v>
      </c>
      <c r="O23" s="22" t="str">
        <f ca="1">IF(O22=" "," ",INDEX($W$4:$X$123,MATCH(O$22,$X$4:$X$123,FALSE),LEFT(O$21,1)))</f>
        <v xml:space="preserve"> </v>
      </c>
      <c r="P23" s="22" t="str">
        <f ca="1">IF(O22=" "," ",IF(COUNTIFS($O$22:P$22,P$22)=3,INDIRECT("$V$"&amp;SUMIFS($V$4:$V$123,$X$4:$X$123,P$22,$AH$4:$AH$123,3)+COUNTBLANK($T$1:$T$3)),IF(COUNTIFS($O$22:P$22,P$22)=2,INDIRECT("$V$"&amp;SUMIFS($V$4:$V$123,$X$4:$X$123,P$22,$AH$4:$AH$123,2)+COUNTBLANK($T$1:$T$3)),INDEX($W$4:$X$123,MATCH(P$22,$X$4:$X$123,FALSE),1))))</f>
        <v xml:space="preserve"> </v>
      </c>
      <c r="Q23" s="22" t="str">
        <f ca="1">IF(O22=" "," ",IF(COUNTIFS($O$22:Q$22,Q$22)=3,INDIRECT("$V$"&amp;SUMIFS($V$4:$V$123,$X$4:$X$123,Q$22,$AH$4:$AH$123,3)+COUNTBLANK($T$1:$T$3)),IF(COUNTIFS($O$22:Q$22,Q$22)=2,INDIRECT("$V$"&amp;SUMIFS($V$4:$V$123,$X$4:$X$123,Q$22,$AH$4:$AH$123,2)+COUNTBLANK($T$1:$T$3)),INDEX($W$4:$X$123,MATCH(Q$22,$X$4:$X$123,FALSE),1))))</f>
        <v xml:space="preserve"> </v>
      </c>
      <c r="R23" s="22" t="str">
        <f ca="1">IF(O22=" "," ",IF(COUNTIFS($O$22:R$22,R$22)=3,INDIRECT("$V$"&amp;SUMIFS($V$4:$V$123,$X$4:$X$123,R$22,$AH$4:$AH$123,3)+COUNTBLANK($T$1:$T$3)),IF(COUNTIFS($O$22:R$22,R$22)=2,INDIRECT("$V$"&amp;SUMIFS($V$4:$V$123,$X$4:$X$123,R$22,$AH$4:$AH$123,2)+COUNTBLANK($T$1:$T$3)),INDEX($W$4:$X$123,MATCH(R$22,$X$4:$X$123,FALSE),1))))</f>
        <v xml:space="preserve"> </v>
      </c>
      <c r="S23" s="23" t="str">
        <f ca="1">IF(O22=" "," ",IF(COUNTIFS($O$22:S$22,S$22)=3,INDIRECT("$V$"&amp;SUMIFS($V$4:$V$123,$X$4:$X$123,S$22,$AH$4:$AH$123,3)+COUNTBLANK($T$1:$T$3)),IF(COUNTIFS($O$22:S$22,S$22)=2,INDIRECT("$V$"&amp;SUMIFS($V$4:$V$123,$X$4:$X$123,S$22,$AH$4:$AH$123,2)+COUNTBLANK($T$1:$T$3)),INDEX($W$4:$X$123,MATCH(S$22,$X$4:$X$123,FALSE),1))))</f>
        <v xml:space="preserve"> </v>
      </c>
      <c r="U23" s="55" t="str">
        <f t="shared" ca="1" si="4"/>
        <v/>
      </c>
      <c r="V23" s="17" t="str">
        <f t="shared" si="5"/>
        <v/>
      </c>
      <c r="W23" s="17" t="str">
        <f t="shared" ca="1" si="6"/>
        <v/>
      </c>
      <c r="X23" s="19" t="str">
        <f t="shared" ca="1" si="7"/>
        <v/>
      </c>
      <c r="Y23" s="19" t="str">
        <f t="shared" ca="1" si="8"/>
        <v/>
      </c>
      <c r="Z23" s="19" t="str">
        <f>IF(_xlfn.NUMBERVALUE($V23)&gt;0,SUMIFS($X$4:$X23,$W$4:$W23,$W23),"")</f>
        <v/>
      </c>
      <c r="AA23" s="19" t="str">
        <f>IF(_xlfn.NUMBERVALUE($V23)&gt;0,SUMIFS($X$4:$X23,$W$4:$W23,$W23)/COUNTIFS($W$4:$W23,$W23,$Y$4:$Y23,"Score"),"")</f>
        <v/>
      </c>
      <c r="AB23" s="19" t="str">
        <f t="shared" si="9"/>
        <v/>
      </c>
      <c r="AC23" s="20"/>
      <c r="AD23" s="13" t="s">
        <v>19</v>
      </c>
      <c r="AE23" s="13" t="s">
        <v>19</v>
      </c>
      <c r="AF23" s="13" t="s">
        <v>21</v>
      </c>
      <c r="AG23" s="13" t="s">
        <v>22</v>
      </c>
      <c r="AH23" s="13">
        <f ca="1">COUNTIFS($X$4:$X23,$X23)</f>
        <v>20</v>
      </c>
    </row>
    <row r="24" spans="1:34" ht="15" thickBot="1" x14ac:dyDescent="0.35">
      <c r="A24" s="10">
        <v>21</v>
      </c>
      <c r="B24" s="1"/>
      <c r="C24" s="2">
        <f>C23+B24</f>
        <v>0</v>
      </c>
      <c r="D24" s="1"/>
      <c r="E24" s="2">
        <f t="shared" si="12"/>
        <v>0</v>
      </c>
      <c r="F24" s="1"/>
      <c r="G24" s="2">
        <f t="shared" si="13"/>
        <v>0</v>
      </c>
      <c r="H24" s="1"/>
      <c r="I24" s="2">
        <f t="shared" si="17"/>
        <v>0</v>
      </c>
      <c r="J24" s="1"/>
      <c r="K24" s="2">
        <f t="shared" si="18"/>
        <v>0</v>
      </c>
      <c r="U24" s="55" t="str">
        <f t="shared" ca="1" si="4"/>
        <v/>
      </c>
      <c r="V24" s="17" t="str">
        <f t="shared" si="5"/>
        <v/>
      </c>
      <c r="W24" s="17" t="str">
        <f t="shared" ca="1" si="6"/>
        <v/>
      </c>
      <c r="X24" s="19" t="str">
        <f t="shared" ca="1" si="7"/>
        <v/>
      </c>
      <c r="Y24" s="19" t="str">
        <f t="shared" ca="1" si="8"/>
        <v/>
      </c>
      <c r="Z24" s="19" t="str">
        <f>IF(_xlfn.NUMBERVALUE($V24)&gt;0,SUMIFS($X$4:$X24,$W$4:$W24,$W24),"")</f>
        <v/>
      </c>
      <c r="AA24" s="19" t="str">
        <f>IF(_xlfn.NUMBERVALUE($V24)&gt;0,SUMIFS($X$4:$X24,$W$4:$W24,$W24)/COUNTIFS($W$4:$W24,$W24,$Y$4:$Y24,"Score"),"")</f>
        <v/>
      </c>
      <c r="AB24" s="19" t="str">
        <f t="shared" si="9"/>
        <v/>
      </c>
      <c r="AC24" s="20"/>
      <c r="AD24" s="13" t="s">
        <v>18</v>
      </c>
      <c r="AE24" s="13" t="s">
        <v>20</v>
      </c>
      <c r="AF24" s="13" t="s">
        <v>18</v>
      </c>
      <c r="AG24" s="13" t="s">
        <v>18</v>
      </c>
      <c r="AH24" s="13">
        <f ca="1">COUNTIFS($X$4:$X24,$X24)</f>
        <v>21</v>
      </c>
    </row>
    <row r="25" spans="1:34" ht="20.399999999999999" thickBot="1" x14ac:dyDescent="0.45">
      <c r="A25" s="10">
        <v>22</v>
      </c>
      <c r="B25" s="1"/>
      <c r="C25" s="2">
        <f t="shared" si="11"/>
        <v>0</v>
      </c>
      <c r="D25" s="1"/>
      <c r="E25" s="2">
        <f t="shared" si="12"/>
        <v>0</v>
      </c>
      <c r="F25" s="1"/>
      <c r="G25" s="2">
        <f t="shared" si="13"/>
        <v>0</v>
      </c>
      <c r="H25" s="1"/>
      <c r="I25" s="2">
        <f t="shared" si="17"/>
        <v>0</v>
      </c>
      <c r="J25" s="1"/>
      <c r="K25" s="2">
        <f t="shared" si="18"/>
        <v>0</v>
      </c>
      <c r="M25" s="30" t="str">
        <f ca="1">"Control  - "&amp;MID(CELL("filename",M25),FIND("]",CELL("filename",M25))+1,256)</f>
        <v>Control  - Template</v>
      </c>
      <c r="N25" s="14"/>
      <c r="O25" s="14"/>
      <c r="P25" s="14"/>
      <c r="Q25" s="14"/>
      <c r="R25" s="14"/>
      <c r="S25" s="15"/>
      <c r="U25" s="55" t="str">
        <f t="shared" ca="1" si="4"/>
        <v/>
      </c>
      <c r="V25" s="17" t="str">
        <f t="shared" si="5"/>
        <v/>
      </c>
      <c r="W25" s="17" t="str">
        <f t="shared" ca="1" si="6"/>
        <v/>
      </c>
      <c r="X25" s="19" t="str">
        <f t="shared" ca="1" si="7"/>
        <v/>
      </c>
      <c r="Y25" s="19" t="str">
        <f t="shared" ca="1" si="8"/>
        <v/>
      </c>
      <c r="Z25" s="19" t="str">
        <f>IF(_xlfn.NUMBERVALUE($V25)&gt;0,SUMIFS($X$4:$X25,$W$4:$W25,$W25),"")</f>
        <v/>
      </c>
      <c r="AA25" s="19" t="str">
        <f>IF(_xlfn.NUMBERVALUE($V25)&gt;0,SUMIFS($X$4:$X25,$W$4:$W25,$W25)/COUNTIFS($W$4:$W25,$W25,$Y$4:$Y25,"Score"),"")</f>
        <v/>
      </c>
      <c r="AB25" s="19" t="str">
        <f t="shared" si="9"/>
        <v/>
      </c>
      <c r="AC25" s="20"/>
      <c r="AD25" s="13" t="s">
        <v>19</v>
      </c>
      <c r="AE25" s="13" t="s">
        <v>18</v>
      </c>
      <c r="AF25" s="13" t="s">
        <v>19</v>
      </c>
      <c r="AG25" s="13" t="s">
        <v>19</v>
      </c>
      <c r="AH25" s="13">
        <f ca="1">COUNTIFS($X$4:$X25,$X25)</f>
        <v>22</v>
      </c>
    </row>
    <row r="26" spans="1:34" ht="18" thickBot="1" x14ac:dyDescent="0.4">
      <c r="A26" s="10">
        <v>23</v>
      </c>
      <c r="B26" s="1"/>
      <c r="C26" s="2">
        <f t="shared" si="11"/>
        <v>0</v>
      </c>
      <c r="D26" s="1"/>
      <c r="E26" s="2">
        <f t="shared" si="12"/>
        <v>0</v>
      </c>
      <c r="F26" s="1"/>
      <c r="G26" s="2">
        <f t="shared" si="13"/>
        <v>0</v>
      </c>
      <c r="H26" s="1"/>
      <c r="I26" s="2">
        <f t="shared" si="17"/>
        <v>0</v>
      </c>
      <c r="J26" s="1"/>
      <c r="K26" s="2">
        <f t="shared" si="18"/>
        <v>0</v>
      </c>
      <c r="M26" s="31" t="s">
        <v>4</v>
      </c>
      <c r="N26" s="28"/>
      <c r="O26" s="28"/>
      <c r="P26" s="28"/>
      <c r="Q26" s="28"/>
      <c r="R26" s="28"/>
      <c r="S26" s="5"/>
      <c r="U26" s="55" t="str">
        <f t="shared" ca="1" si="4"/>
        <v/>
      </c>
      <c r="V26" s="17" t="str">
        <f t="shared" si="5"/>
        <v/>
      </c>
      <c r="W26" s="17" t="str">
        <f t="shared" ca="1" si="6"/>
        <v/>
      </c>
      <c r="X26" s="19" t="str">
        <f t="shared" ca="1" si="7"/>
        <v/>
      </c>
      <c r="Y26" s="19" t="str">
        <f t="shared" ca="1" si="8"/>
        <v/>
      </c>
      <c r="Z26" s="19" t="str">
        <f>IF(_xlfn.NUMBERVALUE($V26)&gt;0,SUMIFS($X$4:$X26,$W$4:$W26,$W26),"")</f>
        <v/>
      </c>
      <c r="AA26" s="19" t="str">
        <f>IF(_xlfn.NUMBERVALUE($V26)&gt;0,SUMIFS($X$4:$X26,$W$4:$W26,$W26)/COUNTIFS($W$4:$W26,$W26,$Y$4:$Y26,"Score"),"")</f>
        <v/>
      </c>
      <c r="AB26" s="19" t="str">
        <f t="shared" si="9"/>
        <v/>
      </c>
      <c r="AC26" s="20"/>
      <c r="AD26" s="13" t="s">
        <v>18</v>
      </c>
      <c r="AE26" s="13" t="s">
        <v>19</v>
      </c>
      <c r="AF26" s="13" t="s">
        <v>20</v>
      </c>
      <c r="AG26" s="13" t="s">
        <v>20</v>
      </c>
      <c r="AH26" s="13">
        <f ca="1">COUNTIFS($X$4:$X26,$X26)</f>
        <v>23</v>
      </c>
    </row>
    <row r="27" spans="1:34" ht="15" thickTop="1" x14ac:dyDescent="0.3">
      <c r="A27" s="10">
        <v>24</v>
      </c>
      <c r="B27" s="1"/>
      <c r="C27" s="2">
        <f t="shared" si="11"/>
        <v>0</v>
      </c>
      <c r="D27" s="1"/>
      <c r="E27" s="2">
        <f t="shared" si="12"/>
        <v>0</v>
      </c>
      <c r="F27" s="1"/>
      <c r="G27" s="2">
        <f t="shared" si="13"/>
        <v>0</v>
      </c>
      <c r="H27" s="1"/>
      <c r="I27" s="2">
        <f t="shared" si="17"/>
        <v>0</v>
      </c>
      <c r="J27" s="1"/>
      <c r="K27" s="2">
        <f t="shared" si="18"/>
        <v>0</v>
      </c>
      <c r="U27" s="55" t="str">
        <f t="shared" ca="1" si="4"/>
        <v/>
      </c>
      <c r="V27" s="17" t="str">
        <f t="shared" si="5"/>
        <v/>
      </c>
      <c r="W27" s="17" t="str">
        <f t="shared" ca="1" si="6"/>
        <v/>
      </c>
      <c r="X27" s="19" t="str">
        <f t="shared" ca="1" si="7"/>
        <v/>
      </c>
      <c r="Y27" s="19" t="str">
        <f t="shared" ca="1" si="8"/>
        <v/>
      </c>
      <c r="Z27" s="19" t="str">
        <f>IF(_xlfn.NUMBERVALUE($V27)&gt;0,SUMIFS($X$4:$X27,$W$4:$W27,$W27),"")</f>
        <v/>
      </c>
      <c r="AA27" s="19" t="str">
        <f>IF(_xlfn.NUMBERVALUE($V27)&gt;0,SUMIFS($X$4:$X27,$W$4:$W27,$W27)/COUNTIFS($W$4:$W27,$W27,$Y$4:$Y27,"Score"),"")</f>
        <v/>
      </c>
      <c r="AB27" s="19" t="str">
        <f t="shared" si="9"/>
        <v/>
      </c>
      <c r="AC27" s="20"/>
      <c r="AD27" s="13" t="s">
        <v>19</v>
      </c>
      <c r="AE27" s="13" t="s">
        <v>20</v>
      </c>
      <c r="AF27" s="13" t="s">
        <v>21</v>
      </c>
      <c r="AG27" s="13" t="s">
        <v>21</v>
      </c>
      <c r="AH27" s="13">
        <f ca="1">COUNTIFS($X$4:$X27,$X27)</f>
        <v>24</v>
      </c>
    </row>
    <row r="28" spans="1:34" x14ac:dyDescent="0.3">
      <c r="A28" s="10">
        <v>25</v>
      </c>
      <c r="B28" s="1"/>
      <c r="C28" s="2">
        <f t="shared" si="11"/>
        <v>0</v>
      </c>
      <c r="D28" s="1"/>
      <c r="E28" s="2">
        <f t="shared" si="12"/>
        <v>0</v>
      </c>
      <c r="F28" s="1"/>
      <c r="G28" s="2">
        <f t="shared" si="13"/>
        <v>0</v>
      </c>
      <c r="H28" s="1"/>
      <c r="I28" s="2">
        <f t="shared" si="17"/>
        <v>0</v>
      </c>
      <c r="J28" s="1"/>
      <c r="K28" s="2">
        <f t="shared" si="18"/>
        <v>0</v>
      </c>
      <c r="O28" s="32"/>
      <c r="U28" s="55" t="str">
        <f t="shared" ca="1" si="4"/>
        <v/>
      </c>
      <c r="V28" s="17" t="str">
        <f t="shared" si="5"/>
        <v/>
      </c>
      <c r="W28" s="17" t="str">
        <f t="shared" ca="1" si="6"/>
        <v/>
      </c>
      <c r="X28" s="19" t="str">
        <f t="shared" ca="1" si="7"/>
        <v/>
      </c>
      <c r="Y28" s="19" t="str">
        <f t="shared" ca="1" si="8"/>
        <v/>
      </c>
      <c r="Z28" s="19" t="str">
        <f>IF(_xlfn.NUMBERVALUE($V28)&gt;0,SUMIFS($X$4:$X28,$W$4:$W28,$W28),"")</f>
        <v/>
      </c>
      <c r="AA28" s="19" t="str">
        <f>IF(_xlfn.NUMBERVALUE($V28)&gt;0,SUMIFS($X$4:$X28,$W$4:$W28,$W28)/COUNTIFS($W$4:$W28,$W28,$Y$4:$Y28,"Score"),"")</f>
        <v/>
      </c>
      <c r="AB28" s="19" t="str">
        <f t="shared" si="9"/>
        <v/>
      </c>
      <c r="AC28" s="20"/>
      <c r="AD28" s="13" t="s">
        <v>18</v>
      </c>
      <c r="AE28" s="13" t="s">
        <v>18</v>
      </c>
      <c r="AF28" s="13" t="s">
        <v>18</v>
      </c>
      <c r="AG28" s="13" t="s">
        <v>22</v>
      </c>
      <c r="AH28" s="13">
        <f ca="1">COUNTIFS($X$4:$X28,$X28)</f>
        <v>25</v>
      </c>
    </row>
    <row r="29" spans="1:34" x14ac:dyDescent="0.3">
      <c r="A29" s="10">
        <v>26</v>
      </c>
      <c r="B29" s="1"/>
      <c r="C29" s="2">
        <f t="shared" si="11"/>
        <v>0</v>
      </c>
      <c r="D29" s="1"/>
      <c r="E29" s="2">
        <f t="shared" si="12"/>
        <v>0</v>
      </c>
      <c r="F29" s="1"/>
      <c r="G29" s="2">
        <f t="shared" si="13"/>
        <v>0</v>
      </c>
      <c r="H29" s="1"/>
      <c r="I29" s="2">
        <f t="shared" si="17"/>
        <v>0</v>
      </c>
      <c r="J29" s="1"/>
      <c r="K29" s="2">
        <f t="shared" si="18"/>
        <v>0</v>
      </c>
      <c r="O29" s="32"/>
      <c r="U29" s="55" t="str">
        <f t="shared" ca="1" si="4"/>
        <v/>
      </c>
      <c r="V29" s="17" t="str">
        <f t="shared" si="5"/>
        <v/>
      </c>
      <c r="W29" s="17" t="str">
        <f t="shared" ca="1" si="6"/>
        <v/>
      </c>
      <c r="X29" s="19" t="str">
        <f t="shared" ca="1" si="7"/>
        <v/>
      </c>
      <c r="Y29" s="19" t="str">
        <f t="shared" ca="1" si="8"/>
        <v/>
      </c>
      <c r="Z29" s="19" t="str">
        <f>IF(_xlfn.NUMBERVALUE($V29)&gt;0,SUMIFS($X$4:$X29,$W$4:$W29,$W29),"")</f>
        <v/>
      </c>
      <c r="AA29" s="19" t="str">
        <f>IF(_xlfn.NUMBERVALUE($V29)&gt;0,SUMIFS($X$4:$X29,$W$4:$W29,$W29)/COUNTIFS($W$4:$W29,$W29,$Y$4:$Y29,"Score"),"")</f>
        <v/>
      </c>
      <c r="AB29" s="19" t="str">
        <f t="shared" si="9"/>
        <v/>
      </c>
      <c r="AC29" s="20"/>
      <c r="AD29" s="13" t="s">
        <v>19</v>
      </c>
      <c r="AE29" s="13" t="s">
        <v>19</v>
      </c>
      <c r="AF29" s="13" t="s">
        <v>19</v>
      </c>
      <c r="AG29" s="13" t="s">
        <v>18</v>
      </c>
      <c r="AH29" s="13">
        <f ca="1">COUNTIFS($X$4:$X29,$X29)</f>
        <v>26</v>
      </c>
    </row>
    <row r="30" spans="1:34" x14ac:dyDescent="0.3">
      <c r="A30" s="10">
        <v>27</v>
      </c>
      <c r="B30" s="1"/>
      <c r="C30" s="2">
        <f t="shared" si="11"/>
        <v>0</v>
      </c>
      <c r="D30" s="1"/>
      <c r="E30" s="2">
        <f t="shared" si="12"/>
        <v>0</v>
      </c>
      <c r="F30" s="1"/>
      <c r="G30" s="2">
        <f t="shared" si="13"/>
        <v>0</v>
      </c>
      <c r="H30" s="1"/>
      <c r="I30" s="2">
        <f t="shared" si="17"/>
        <v>0</v>
      </c>
      <c r="J30" s="1"/>
      <c r="K30" s="2">
        <f t="shared" si="18"/>
        <v>0</v>
      </c>
      <c r="O30" s="32"/>
      <c r="U30" s="55" t="str">
        <f t="shared" ca="1" si="4"/>
        <v/>
      </c>
      <c r="V30" s="17" t="str">
        <f t="shared" si="5"/>
        <v/>
      </c>
      <c r="W30" s="17" t="str">
        <f t="shared" ca="1" si="6"/>
        <v/>
      </c>
      <c r="X30" s="19" t="str">
        <f t="shared" ca="1" si="7"/>
        <v/>
      </c>
      <c r="Y30" s="19" t="str">
        <f t="shared" ca="1" si="8"/>
        <v/>
      </c>
      <c r="Z30" s="19" t="str">
        <f>IF(_xlfn.NUMBERVALUE($V30)&gt;0,SUMIFS($X$4:$X30,$W$4:$W30,$W30),"")</f>
        <v/>
      </c>
      <c r="AA30" s="19" t="str">
        <f>IF(_xlfn.NUMBERVALUE($V30)&gt;0,SUMIFS($X$4:$X30,$W$4:$W30,$W30)/COUNTIFS($W$4:$W30,$W30,$Y$4:$Y30,"Score"),"")</f>
        <v/>
      </c>
      <c r="AB30" s="19" t="str">
        <f t="shared" si="9"/>
        <v/>
      </c>
      <c r="AC30" s="20"/>
      <c r="AD30" s="13" t="s">
        <v>18</v>
      </c>
      <c r="AE30" s="13" t="s">
        <v>20</v>
      </c>
      <c r="AF30" s="13" t="s">
        <v>20</v>
      </c>
      <c r="AG30" s="13" t="s">
        <v>19</v>
      </c>
      <c r="AH30" s="13">
        <f ca="1">COUNTIFS($X$4:$X30,$X30)</f>
        <v>27</v>
      </c>
    </row>
    <row r="31" spans="1:34" x14ac:dyDescent="0.3">
      <c r="A31" s="10">
        <v>28</v>
      </c>
      <c r="B31" s="1"/>
      <c r="C31" s="2">
        <f t="shared" si="11"/>
        <v>0</v>
      </c>
      <c r="D31" s="1"/>
      <c r="E31" s="2">
        <f t="shared" si="12"/>
        <v>0</v>
      </c>
      <c r="F31" s="1"/>
      <c r="G31" s="2">
        <f t="shared" si="13"/>
        <v>0</v>
      </c>
      <c r="H31" s="1"/>
      <c r="I31" s="2">
        <f t="shared" si="17"/>
        <v>0</v>
      </c>
      <c r="J31" s="1"/>
      <c r="K31" s="2">
        <f t="shared" si="18"/>
        <v>0</v>
      </c>
      <c r="U31" s="55" t="str">
        <f t="shared" ca="1" si="4"/>
        <v/>
      </c>
      <c r="V31" s="17" t="str">
        <f t="shared" si="5"/>
        <v/>
      </c>
      <c r="W31" s="17" t="str">
        <f t="shared" ca="1" si="6"/>
        <v/>
      </c>
      <c r="X31" s="19" t="str">
        <f t="shared" ca="1" si="7"/>
        <v/>
      </c>
      <c r="Y31" s="19" t="str">
        <f t="shared" ca="1" si="8"/>
        <v/>
      </c>
      <c r="Z31" s="19" t="str">
        <f>IF(_xlfn.NUMBERVALUE($V31)&gt;0,SUMIFS($X$4:$X31,$W$4:$W31,$W31),"")</f>
        <v/>
      </c>
      <c r="AA31" s="19" t="str">
        <f>IF(_xlfn.NUMBERVALUE($V31)&gt;0,SUMIFS($X$4:$X31,$W$4:$W31,$W31)/COUNTIFS($W$4:$W31,$W31,$Y$4:$Y31,"Score"),"")</f>
        <v/>
      </c>
      <c r="AB31" s="19" t="str">
        <f t="shared" si="9"/>
        <v/>
      </c>
      <c r="AC31" s="20"/>
      <c r="AD31" s="13" t="s">
        <v>19</v>
      </c>
      <c r="AE31" s="13" t="s">
        <v>18</v>
      </c>
      <c r="AF31" s="13" t="s">
        <v>21</v>
      </c>
      <c r="AG31" s="13" t="s">
        <v>20</v>
      </c>
      <c r="AH31" s="13">
        <f ca="1">COUNTIFS($X$4:$X31,$X31)</f>
        <v>28</v>
      </c>
    </row>
    <row r="32" spans="1:34" x14ac:dyDescent="0.3">
      <c r="A32" s="10">
        <v>29</v>
      </c>
      <c r="B32" s="1"/>
      <c r="C32" s="2">
        <f t="shared" si="11"/>
        <v>0</v>
      </c>
      <c r="D32" s="1"/>
      <c r="E32" s="2">
        <f t="shared" si="12"/>
        <v>0</v>
      </c>
      <c r="F32" s="1"/>
      <c r="G32" s="2">
        <f t="shared" si="13"/>
        <v>0</v>
      </c>
      <c r="H32" s="1"/>
      <c r="I32" s="2">
        <f t="shared" si="17"/>
        <v>0</v>
      </c>
      <c r="J32" s="1"/>
      <c r="K32" s="2">
        <f t="shared" si="18"/>
        <v>0</v>
      </c>
      <c r="U32" s="55" t="str">
        <f t="shared" ca="1" si="4"/>
        <v/>
      </c>
      <c r="V32" s="17" t="str">
        <f t="shared" si="5"/>
        <v/>
      </c>
      <c r="W32" s="17" t="str">
        <f t="shared" ca="1" si="6"/>
        <v/>
      </c>
      <c r="X32" s="19" t="str">
        <f t="shared" ca="1" si="7"/>
        <v/>
      </c>
      <c r="Y32" s="19" t="str">
        <f t="shared" ca="1" si="8"/>
        <v/>
      </c>
      <c r="Z32" s="19" t="str">
        <f>IF(_xlfn.NUMBERVALUE($V32)&gt;0,SUMIFS($X$4:$X32,$W$4:$W32,$W32),"")</f>
        <v/>
      </c>
      <c r="AA32" s="19" t="str">
        <f>IF(_xlfn.NUMBERVALUE($V32)&gt;0,SUMIFS($X$4:$X32,$W$4:$W32,$W32)/COUNTIFS($W$4:$W32,$W32,$Y$4:$Y32,"Score"),"")</f>
        <v/>
      </c>
      <c r="AB32" s="19" t="str">
        <f t="shared" si="9"/>
        <v/>
      </c>
      <c r="AC32" s="20"/>
      <c r="AD32" s="13" t="s">
        <v>18</v>
      </c>
      <c r="AE32" s="13" t="s">
        <v>19</v>
      </c>
      <c r="AF32" s="13" t="s">
        <v>18</v>
      </c>
      <c r="AG32" s="13" t="s">
        <v>21</v>
      </c>
      <c r="AH32" s="13">
        <f ca="1">COUNTIFS($X$4:$X32,$X32)</f>
        <v>29</v>
      </c>
    </row>
    <row r="33" spans="1:34" ht="15" thickBot="1" x14ac:dyDescent="0.35">
      <c r="A33" s="11">
        <v>30</v>
      </c>
      <c r="B33" s="3"/>
      <c r="C33" s="4">
        <f t="shared" si="11"/>
        <v>0</v>
      </c>
      <c r="D33" s="3"/>
      <c r="E33" s="4">
        <f t="shared" si="12"/>
        <v>0</v>
      </c>
      <c r="F33" s="3"/>
      <c r="G33" s="4">
        <f t="shared" si="13"/>
        <v>0</v>
      </c>
      <c r="H33" s="3"/>
      <c r="I33" s="4">
        <f t="shared" si="17"/>
        <v>0</v>
      </c>
      <c r="J33" s="3"/>
      <c r="K33" s="4">
        <f t="shared" si="18"/>
        <v>0</v>
      </c>
      <c r="U33" s="55" t="str">
        <f t="shared" ca="1" si="4"/>
        <v/>
      </c>
      <c r="V33" s="17" t="str">
        <f t="shared" si="5"/>
        <v/>
      </c>
      <c r="W33" s="17" t="str">
        <f t="shared" ca="1" si="6"/>
        <v/>
      </c>
      <c r="X33" s="19" t="str">
        <f t="shared" ca="1" si="7"/>
        <v/>
      </c>
      <c r="Y33" s="19" t="str">
        <f t="shared" ca="1" si="8"/>
        <v/>
      </c>
      <c r="Z33" s="19" t="str">
        <f>IF(_xlfn.NUMBERVALUE($V33)&gt;0,SUMIFS($X$4:$X33,$W$4:$W33,$W33),"")</f>
        <v/>
      </c>
      <c r="AA33" s="19" t="str">
        <f>IF(_xlfn.NUMBERVALUE($V33)&gt;0,SUMIFS($X$4:$X33,$W$4:$W33,$W33)/COUNTIFS($W$4:$W33,$W33,$Y$4:$Y33,"Score"),"")</f>
        <v/>
      </c>
      <c r="AB33" s="19" t="str">
        <f t="shared" si="9"/>
        <v/>
      </c>
      <c r="AC33" s="20"/>
      <c r="AD33" s="13" t="s">
        <v>19</v>
      </c>
      <c r="AE33" s="13" t="s">
        <v>20</v>
      </c>
      <c r="AF33" s="13" t="s">
        <v>19</v>
      </c>
      <c r="AG33" s="13" t="s">
        <v>22</v>
      </c>
      <c r="AH33" s="13">
        <f ca="1">COUNTIFS($X$4:$X33,$X33)</f>
        <v>30</v>
      </c>
    </row>
    <row r="34" spans="1:34" x14ac:dyDescent="0.3">
      <c r="A34"/>
      <c r="B34"/>
      <c r="C34"/>
      <c r="D34"/>
      <c r="E34"/>
      <c r="F34"/>
      <c r="G34"/>
      <c r="H34"/>
      <c r="I34"/>
      <c r="J34"/>
      <c r="K34"/>
      <c r="U34" s="55" t="str">
        <f t="shared" ca="1" si="4"/>
        <v/>
      </c>
      <c r="V34" s="17" t="str">
        <f t="shared" si="5"/>
        <v/>
      </c>
      <c r="W34" s="17" t="str">
        <f t="shared" ca="1" si="6"/>
        <v/>
      </c>
      <c r="X34" s="19" t="str">
        <f t="shared" ca="1" si="7"/>
        <v/>
      </c>
      <c r="Y34" s="19" t="str">
        <f t="shared" ca="1" si="8"/>
        <v/>
      </c>
      <c r="Z34" s="19" t="str">
        <f>IF(_xlfn.NUMBERVALUE($V34)&gt;0,SUMIFS($X$4:$X34,$W$4:$W34,$W34),"")</f>
        <v/>
      </c>
      <c r="AA34" s="19" t="str">
        <f>IF(_xlfn.NUMBERVALUE($V34)&gt;0,SUMIFS($X$4:$X34,$W$4:$W34,$W34)/COUNTIFS($W$4:$W34,$W34,$Y$4:$Y34,"Score"),"")</f>
        <v/>
      </c>
      <c r="AB34" s="19" t="str">
        <f t="shared" si="9"/>
        <v/>
      </c>
      <c r="AC34" s="20"/>
      <c r="AD34" s="13" t="s">
        <v>18</v>
      </c>
      <c r="AE34" s="13" t="s">
        <v>18</v>
      </c>
      <c r="AF34" s="13" t="s">
        <v>20</v>
      </c>
      <c r="AG34" s="13" t="s">
        <v>18</v>
      </c>
      <c r="AH34" s="13">
        <f ca="1">COUNTIFS($X$4:$X34,$X34)</f>
        <v>31</v>
      </c>
    </row>
    <row r="35" spans="1:34" x14ac:dyDescent="0.3">
      <c r="A35"/>
      <c r="B35"/>
      <c r="C35"/>
      <c r="D35"/>
      <c r="E35"/>
      <c r="F35"/>
      <c r="G35"/>
      <c r="H35"/>
      <c r="I35"/>
      <c r="J35"/>
      <c r="K35"/>
      <c r="U35" s="55" t="str">
        <f t="shared" ca="1" si="4"/>
        <v/>
      </c>
      <c r="V35" s="17" t="str">
        <f t="shared" si="5"/>
        <v/>
      </c>
      <c r="W35" s="17" t="str">
        <f t="shared" ca="1" si="6"/>
        <v/>
      </c>
      <c r="X35" s="19" t="str">
        <f t="shared" ca="1" si="7"/>
        <v/>
      </c>
      <c r="Y35" s="19" t="str">
        <f t="shared" ca="1" si="8"/>
        <v/>
      </c>
      <c r="Z35" s="19" t="str">
        <f>IF(_xlfn.NUMBERVALUE($V35)&gt;0,SUMIFS($X$4:$X35,$W$4:$W35,$W35),"")</f>
        <v/>
      </c>
      <c r="AA35" s="19" t="str">
        <f>IF(_xlfn.NUMBERVALUE($V35)&gt;0,SUMIFS($X$4:$X35,$W$4:$W35,$W35)/COUNTIFS($W$4:$W35,$W35,$Y$4:$Y35,"Score"),"")</f>
        <v/>
      </c>
      <c r="AB35" s="19" t="str">
        <f t="shared" si="9"/>
        <v/>
      </c>
      <c r="AC35" s="20"/>
      <c r="AD35" s="13" t="s">
        <v>19</v>
      </c>
      <c r="AE35" s="13" t="s">
        <v>19</v>
      </c>
      <c r="AF35" s="13" t="s">
        <v>21</v>
      </c>
      <c r="AG35" s="13" t="s">
        <v>19</v>
      </c>
      <c r="AH35" s="13">
        <f ca="1">COUNTIFS($X$4:$X35,$X35)</f>
        <v>32</v>
      </c>
    </row>
    <row r="36" spans="1:34" x14ac:dyDescent="0.3">
      <c r="A36"/>
      <c r="B36"/>
      <c r="C36"/>
      <c r="D36"/>
      <c r="E36"/>
      <c r="F36"/>
      <c r="G36"/>
      <c r="H36"/>
      <c r="I36"/>
      <c r="J36"/>
      <c r="K36"/>
      <c r="U36" s="55" t="str">
        <f t="shared" ca="1" si="4"/>
        <v/>
      </c>
      <c r="V36" s="17" t="str">
        <f t="shared" si="5"/>
        <v/>
      </c>
      <c r="W36" s="17" t="str">
        <f t="shared" ca="1" si="6"/>
        <v/>
      </c>
      <c r="X36" s="19" t="str">
        <f t="shared" ca="1" si="7"/>
        <v/>
      </c>
      <c r="Y36" s="19" t="str">
        <f t="shared" ca="1" si="8"/>
        <v/>
      </c>
      <c r="Z36" s="19" t="str">
        <f>IF(_xlfn.NUMBERVALUE($V36)&gt;0,SUMIFS($X$4:$X36,$W$4:$W36,$W36),"")</f>
        <v/>
      </c>
      <c r="AA36" s="19" t="str">
        <f>IF(_xlfn.NUMBERVALUE($V36)&gt;0,SUMIFS($X$4:$X36,$W$4:$W36,$W36)/COUNTIFS($W$4:$W36,$W36,$Y$4:$Y36,"Score"),"")</f>
        <v/>
      </c>
      <c r="AB36" s="19" t="str">
        <f t="shared" si="9"/>
        <v/>
      </c>
      <c r="AC36" s="20"/>
      <c r="AD36" s="13" t="s">
        <v>18</v>
      </c>
      <c r="AE36" s="13" t="s">
        <v>20</v>
      </c>
      <c r="AF36" s="13" t="s">
        <v>18</v>
      </c>
      <c r="AG36" s="13" t="s">
        <v>20</v>
      </c>
      <c r="AH36" s="13">
        <f ca="1">COUNTIFS($X$4:$X36,$X36)</f>
        <v>33</v>
      </c>
    </row>
    <row r="37" spans="1:34" x14ac:dyDescent="0.3">
      <c r="A37"/>
      <c r="B37"/>
      <c r="C37"/>
      <c r="D37"/>
      <c r="E37"/>
      <c r="F37"/>
      <c r="G37"/>
      <c r="H37"/>
      <c r="I37"/>
      <c r="J37"/>
      <c r="K37"/>
      <c r="U37" s="55" t="str">
        <f t="shared" ca="1" si="4"/>
        <v/>
      </c>
      <c r="V37" s="17" t="str">
        <f t="shared" si="5"/>
        <v/>
      </c>
      <c r="W37" s="17" t="str">
        <f t="shared" ca="1" si="6"/>
        <v/>
      </c>
      <c r="X37" s="19" t="str">
        <f t="shared" ca="1" si="7"/>
        <v/>
      </c>
      <c r="Y37" s="19" t="str">
        <f t="shared" ca="1" si="8"/>
        <v/>
      </c>
      <c r="Z37" s="19" t="str">
        <f>IF(_xlfn.NUMBERVALUE($V37)&gt;0,SUMIFS($X$4:$X37,$W$4:$W37,$W37),"")</f>
        <v/>
      </c>
      <c r="AA37" s="19" t="str">
        <f>IF(_xlfn.NUMBERVALUE($V37)&gt;0,SUMIFS($X$4:$X37,$W$4:$W37,$W37)/COUNTIFS($W$4:$W37,$W37,$Y$4:$Y37,"Score"),"")</f>
        <v/>
      </c>
      <c r="AB37" s="19" t="str">
        <f t="shared" si="9"/>
        <v/>
      </c>
      <c r="AC37" s="20"/>
      <c r="AD37" s="13" t="s">
        <v>19</v>
      </c>
      <c r="AE37" s="13" t="s">
        <v>18</v>
      </c>
      <c r="AF37" s="13" t="s">
        <v>19</v>
      </c>
      <c r="AG37" s="13" t="s">
        <v>21</v>
      </c>
      <c r="AH37" s="13">
        <f ca="1">COUNTIFS($X$4:$X37,$X37)</f>
        <v>34</v>
      </c>
    </row>
    <row r="38" spans="1:34" x14ac:dyDescent="0.3">
      <c r="A38"/>
      <c r="B38"/>
      <c r="C38"/>
      <c r="D38"/>
      <c r="E38"/>
      <c r="F38"/>
      <c r="G38"/>
      <c r="H38"/>
      <c r="I38"/>
      <c r="J38"/>
      <c r="K38"/>
      <c r="U38" s="55" t="str">
        <f t="shared" ca="1" si="4"/>
        <v/>
      </c>
      <c r="V38" s="17" t="str">
        <f t="shared" si="5"/>
        <v/>
      </c>
      <c r="W38" s="17" t="str">
        <f t="shared" ca="1" si="6"/>
        <v/>
      </c>
      <c r="X38" s="19" t="str">
        <f t="shared" ca="1" si="7"/>
        <v/>
      </c>
      <c r="Y38" s="19" t="str">
        <f t="shared" ca="1" si="8"/>
        <v/>
      </c>
      <c r="Z38" s="19" t="str">
        <f>IF(_xlfn.NUMBERVALUE($V38)&gt;0,SUMIFS($X$4:$X38,$W$4:$W38,$W38),"")</f>
        <v/>
      </c>
      <c r="AA38" s="19" t="str">
        <f>IF(_xlfn.NUMBERVALUE($V38)&gt;0,SUMIFS($X$4:$X38,$W$4:$W38,$W38)/COUNTIFS($W$4:$W38,$W38,$Y$4:$Y38,"Score"),"")</f>
        <v/>
      </c>
      <c r="AB38" s="19" t="str">
        <f t="shared" si="9"/>
        <v/>
      </c>
      <c r="AC38" s="20"/>
      <c r="AD38" s="13" t="s">
        <v>18</v>
      </c>
      <c r="AE38" s="13" t="s">
        <v>19</v>
      </c>
      <c r="AF38" s="13" t="s">
        <v>20</v>
      </c>
      <c r="AG38" s="13" t="s">
        <v>22</v>
      </c>
      <c r="AH38" s="13">
        <f ca="1">COUNTIFS($X$4:$X38,$X38)</f>
        <v>35</v>
      </c>
    </row>
    <row r="39" spans="1:34" x14ac:dyDescent="0.3">
      <c r="A39"/>
      <c r="B39"/>
      <c r="C39"/>
      <c r="D39"/>
      <c r="E39"/>
      <c r="F39"/>
      <c r="G39"/>
      <c r="H39"/>
      <c r="I39"/>
      <c r="J39"/>
      <c r="K39"/>
      <c r="U39" s="55" t="str">
        <f t="shared" ca="1" si="4"/>
        <v/>
      </c>
      <c r="V39" s="17" t="str">
        <f t="shared" si="5"/>
        <v/>
      </c>
      <c r="W39" s="17" t="str">
        <f t="shared" ca="1" si="6"/>
        <v/>
      </c>
      <c r="X39" s="19" t="str">
        <f t="shared" ca="1" si="7"/>
        <v/>
      </c>
      <c r="Y39" s="19" t="str">
        <f t="shared" ca="1" si="8"/>
        <v/>
      </c>
      <c r="Z39" s="19" t="str">
        <f>IF(_xlfn.NUMBERVALUE($V39)&gt;0,SUMIFS($X$4:$X39,$W$4:$W39,$W39),"")</f>
        <v/>
      </c>
      <c r="AA39" s="19" t="str">
        <f>IF(_xlfn.NUMBERVALUE($V39)&gt;0,SUMIFS($X$4:$X39,$W$4:$W39,$W39)/COUNTIFS($W$4:$W39,$W39,$Y$4:$Y39,"Score"),"")</f>
        <v/>
      </c>
      <c r="AB39" s="19" t="str">
        <f t="shared" si="9"/>
        <v/>
      </c>
      <c r="AC39" s="20"/>
      <c r="AD39" s="13" t="s">
        <v>19</v>
      </c>
      <c r="AE39" s="13" t="s">
        <v>20</v>
      </c>
      <c r="AF39" s="13" t="s">
        <v>21</v>
      </c>
      <c r="AG39" s="13" t="s">
        <v>18</v>
      </c>
      <c r="AH39" s="13">
        <f ca="1">COUNTIFS($X$4:$X39,$X39)</f>
        <v>36</v>
      </c>
    </row>
    <row r="40" spans="1:34" x14ac:dyDescent="0.3">
      <c r="A40"/>
      <c r="B40"/>
      <c r="C40"/>
      <c r="D40"/>
      <c r="E40"/>
      <c r="F40"/>
      <c r="G40"/>
      <c r="H40"/>
      <c r="I40"/>
      <c r="J40"/>
      <c r="K40"/>
      <c r="U40" s="55" t="str">
        <f t="shared" ca="1" si="4"/>
        <v/>
      </c>
      <c r="V40" s="17" t="str">
        <f t="shared" si="5"/>
        <v/>
      </c>
      <c r="W40" s="17" t="str">
        <f t="shared" ca="1" si="6"/>
        <v/>
      </c>
      <c r="X40" s="19" t="str">
        <f t="shared" ca="1" si="7"/>
        <v/>
      </c>
      <c r="Y40" s="19" t="str">
        <f t="shared" ca="1" si="8"/>
        <v/>
      </c>
      <c r="Z40" s="19" t="str">
        <f>IF(_xlfn.NUMBERVALUE($V40)&gt;0,SUMIFS($X$4:$X40,$W$4:$W40,$W40),"")</f>
        <v/>
      </c>
      <c r="AA40" s="19" t="str">
        <f>IF(_xlfn.NUMBERVALUE($V40)&gt;0,SUMIFS($X$4:$X40,$W$4:$W40,$W40)/COUNTIFS($W$4:$W40,$W40,$Y$4:$Y40,"Score"),"")</f>
        <v/>
      </c>
      <c r="AB40" s="19" t="str">
        <f t="shared" si="9"/>
        <v/>
      </c>
      <c r="AC40" s="20"/>
      <c r="AD40" s="13" t="s">
        <v>18</v>
      </c>
      <c r="AE40" s="13" t="s">
        <v>18</v>
      </c>
      <c r="AF40" s="13" t="s">
        <v>18</v>
      </c>
      <c r="AG40" s="13" t="s">
        <v>19</v>
      </c>
      <c r="AH40" s="13">
        <f ca="1">COUNTIFS($X$4:$X40,$X40)</f>
        <v>37</v>
      </c>
    </row>
    <row r="41" spans="1:3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U41" s="55" t="str">
        <f t="shared" ca="1" si="4"/>
        <v/>
      </c>
      <c r="V41" s="17" t="str">
        <f t="shared" si="5"/>
        <v/>
      </c>
      <c r="W41" s="17" t="str">
        <f t="shared" ca="1" si="6"/>
        <v/>
      </c>
      <c r="X41" s="19" t="str">
        <f t="shared" ca="1" si="7"/>
        <v/>
      </c>
      <c r="Y41" s="19" t="str">
        <f t="shared" ca="1" si="8"/>
        <v/>
      </c>
      <c r="Z41" s="19" t="str">
        <f>IF(_xlfn.NUMBERVALUE($V41)&gt;0,SUMIFS($X$4:$X41,$W$4:$W41,$W41),"")</f>
        <v/>
      </c>
      <c r="AA41" s="19" t="str">
        <f>IF(_xlfn.NUMBERVALUE($V41)&gt;0,SUMIFS($X$4:$X41,$W$4:$W41,$W41)/COUNTIFS($W$4:$W41,$W41,$Y$4:$Y41,"Score"),"")</f>
        <v/>
      </c>
      <c r="AB41" s="19" t="str">
        <f t="shared" si="9"/>
        <v/>
      </c>
      <c r="AC41" s="20"/>
      <c r="AD41" s="13" t="s">
        <v>19</v>
      </c>
      <c r="AE41" s="13" t="s">
        <v>19</v>
      </c>
      <c r="AF41" s="13" t="s">
        <v>19</v>
      </c>
      <c r="AG41" s="13" t="s">
        <v>20</v>
      </c>
      <c r="AH41" s="13">
        <f ca="1">COUNTIFS($X$4:$X41,$X41)</f>
        <v>38</v>
      </c>
    </row>
    <row r="42" spans="1:34" x14ac:dyDescent="0.3">
      <c r="U42" s="55" t="str">
        <f t="shared" ca="1" si="4"/>
        <v/>
      </c>
      <c r="V42" s="17" t="str">
        <f t="shared" si="5"/>
        <v/>
      </c>
      <c r="W42" s="17" t="str">
        <f t="shared" ca="1" si="6"/>
        <v/>
      </c>
      <c r="X42" s="19" t="str">
        <f t="shared" ca="1" si="7"/>
        <v/>
      </c>
      <c r="Y42" s="19" t="str">
        <f t="shared" ca="1" si="8"/>
        <v/>
      </c>
      <c r="Z42" s="19" t="str">
        <f>IF(_xlfn.NUMBERVALUE($V42)&gt;0,SUMIFS($X$4:$X42,$W$4:$W42,$W42),"")</f>
        <v/>
      </c>
      <c r="AA42" s="19" t="str">
        <f>IF(_xlfn.NUMBERVALUE($V42)&gt;0,SUMIFS($X$4:$X42,$W$4:$W42,$W42)/COUNTIFS($W$4:$W42,$W42,$Y$4:$Y42,"Score"),"")</f>
        <v/>
      </c>
      <c r="AB42" s="19" t="str">
        <f t="shared" si="9"/>
        <v/>
      </c>
      <c r="AC42" s="20"/>
      <c r="AD42" s="13" t="s">
        <v>18</v>
      </c>
      <c r="AE42" s="13" t="s">
        <v>20</v>
      </c>
      <c r="AF42" s="13" t="s">
        <v>20</v>
      </c>
      <c r="AG42" s="13" t="s">
        <v>21</v>
      </c>
      <c r="AH42" s="13">
        <f ca="1">COUNTIFS($X$4:$X42,$X42)</f>
        <v>39</v>
      </c>
    </row>
    <row r="43" spans="1:34" x14ac:dyDescent="0.3">
      <c r="U43" s="55" t="str">
        <f t="shared" ca="1" si="4"/>
        <v/>
      </c>
      <c r="V43" s="17" t="str">
        <f t="shared" si="5"/>
        <v/>
      </c>
      <c r="W43" s="17" t="str">
        <f t="shared" ca="1" si="6"/>
        <v/>
      </c>
      <c r="X43" s="19" t="str">
        <f t="shared" ca="1" si="7"/>
        <v/>
      </c>
      <c r="Y43" s="19" t="str">
        <f t="shared" ca="1" si="8"/>
        <v/>
      </c>
      <c r="Z43" s="19" t="str">
        <f>IF(_xlfn.NUMBERVALUE($V43)&gt;0,SUMIFS($X$4:$X43,$W$4:$W43,$W43),"")</f>
        <v/>
      </c>
      <c r="AA43" s="19" t="str">
        <f>IF(_xlfn.NUMBERVALUE($V43)&gt;0,SUMIFS($X$4:$X43,$W$4:$W43,$W43)/COUNTIFS($W$4:$W43,$W43,$Y$4:$Y43,"Score"),"")</f>
        <v/>
      </c>
      <c r="AB43" s="19" t="str">
        <f t="shared" si="9"/>
        <v/>
      </c>
      <c r="AC43" s="20"/>
      <c r="AD43" s="13" t="s">
        <v>19</v>
      </c>
      <c r="AE43" s="13" t="s">
        <v>18</v>
      </c>
      <c r="AF43" s="13" t="s">
        <v>21</v>
      </c>
      <c r="AG43" s="13" t="s">
        <v>22</v>
      </c>
      <c r="AH43" s="13">
        <f ca="1">COUNTIFS($X$4:$X43,$X43)</f>
        <v>40</v>
      </c>
    </row>
    <row r="44" spans="1:34" x14ac:dyDescent="0.3">
      <c r="U44" s="55" t="str">
        <f t="shared" ca="1" si="4"/>
        <v/>
      </c>
      <c r="V44" s="17" t="str">
        <f t="shared" si="5"/>
        <v/>
      </c>
      <c r="W44" s="17" t="str">
        <f t="shared" ca="1" si="6"/>
        <v/>
      </c>
      <c r="X44" s="19" t="str">
        <f t="shared" ca="1" si="7"/>
        <v/>
      </c>
      <c r="Y44" s="19" t="str">
        <f t="shared" ca="1" si="8"/>
        <v/>
      </c>
      <c r="Z44" s="19" t="str">
        <f>IF(_xlfn.NUMBERVALUE($V44)&gt;0,SUMIFS($X$4:$X44,$W$4:$W44,$W44),"")</f>
        <v/>
      </c>
      <c r="AA44" s="19" t="str">
        <f>IF(_xlfn.NUMBERVALUE($V44)&gt;0,SUMIFS($X$4:$X44,$W$4:$W44,$W44)/COUNTIFS($W$4:$W44,$W44,$Y$4:$Y44,"Score"),"")</f>
        <v/>
      </c>
      <c r="AB44" s="19" t="str">
        <f t="shared" si="9"/>
        <v/>
      </c>
      <c r="AC44" s="20"/>
      <c r="AD44" s="13" t="s">
        <v>18</v>
      </c>
      <c r="AE44" s="13" t="s">
        <v>19</v>
      </c>
      <c r="AF44" s="13" t="s">
        <v>18</v>
      </c>
      <c r="AG44" s="13" t="s">
        <v>18</v>
      </c>
      <c r="AH44" s="13">
        <f ca="1">COUNTIFS($X$4:$X44,$X44)</f>
        <v>41</v>
      </c>
    </row>
    <row r="45" spans="1:34" x14ac:dyDescent="0.3">
      <c r="U45" s="55" t="str">
        <f t="shared" ca="1" si="4"/>
        <v/>
      </c>
      <c r="V45" s="17" t="str">
        <f t="shared" si="5"/>
        <v/>
      </c>
      <c r="W45" s="17" t="str">
        <f t="shared" ca="1" si="6"/>
        <v/>
      </c>
      <c r="X45" s="19" t="str">
        <f t="shared" ca="1" si="7"/>
        <v/>
      </c>
      <c r="Y45" s="19" t="str">
        <f t="shared" ca="1" si="8"/>
        <v/>
      </c>
      <c r="Z45" s="19" t="str">
        <f>IF(_xlfn.NUMBERVALUE($V45)&gt;0,SUMIFS($X$4:$X45,$W$4:$W45,$W45),"")</f>
        <v/>
      </c>
      <c r="AA45" s="19" t="str">
        <f>IF(_xlfn.NUMBERVALUE($V45)&gt;0,SUMIFS($X$4:$X45,$W$4:$W45,$W45)/COUNTIFS($W$4:$W45,$W45,$Y$4:$Y45,"Score"),"")</f>
        <v/>
      </c>
      <c r="AB45" s="19" t="str">
        <f t="shared" si="9"/>
        <v/>
      </c>
      <c r="AC45" s="20"/>
      <c r="AD45" s="13" t="s">
        <v>19</v>
      </c>
      <c r="AE45" s="13" t="s">
        <v>20</v>
      </c>
      <c r="AF45" s="13" t="s">
        <v>19</v>
      </c>
      <c r="AG45" s="13" t="s">
        <v>19</v>
      </c>
      <c r="AH45" s="13">
        <f ca="1">COUNTIFS($X$4:$X45,$X45)</f>
        <v>42</v>
      </c>
    </row>
    <row r="46" spans="1:34" x14ac:dyDescent="0.3">
      <c r="U46" s="55" t="str">
        <f t="shared" ca="1" si="4"/>
        <v/>
      </c>
      <c r="V46" s="17" t="str">
        <f t="shared" si="5"/>
        <v/>
      </c>
      <c r="W46" s="17" t="str">
        <f t="shared" ca="1" si="6"/>
        <v/>
      </c>
      <c r="X46" s="19" t="str">
        <f t="shared" ca="1" si="7"/>
        <v/>
      </c>
      <c r="Y46" s="19" t="str">
        <f t="shared" ca="1" si="8"/>
        <v/>
      </c>
      <c r="Z46" s="19" t="str">
        <f>IF(_xlfn.NUMBERVALUE($V46)&gt;0,SUMIFS($X$4:$X46,$W$4:$W46,$W46),"")</f>
        <v/>
      </c>
      <c r="AA46" s="19" t="str">
        <f>IF(_xlfn.NUMBERVALUE($V46)&gt;0,SUMIFS($X$4:$X46,$W$4:$W46,$W46)/COUNTIFS($W$4:$W46,$W46,$Y$4:$Y46,"Score"),"")</f>
        <v/>
      </c>
      <c r="AB46" s="19" t="str">
        <f t="shared" si="9"/>
        <v/>
      </c>
      <c r="AC46" s="20"/>
      <c r="AD46" s="13" t="s">
        <v>18</v>
      </c>
      <c r="AE46" s="13" t="s">
        <v>18</v>
      </c>
      <c r="AF46" s="13" t="s">
        <v>20</v>
      </c>
      <c r="AG46" s="13" t="s">
        <v>20</v>
      </c>
      <c r="AH46" s="13">
        <f ca="1">COUNTIFS($X$4:$X46,$X46)</f>
        <v>43</v>
      </c>
    </row>
    <row r="47" spans="1:34" x14ac:dyDescent="0.3">
      <c r="U47" s="55" t="str">
        <f t="shared" ca="1" si="4"/>
        <v/>
      </c>
      <c r="V47" s="17" t="str">
        <f t="shared" si="5"/>
        <v/>
      </c>
      <c r="W47" s="17" t="str">
        <f t="shared" ca="1" si="6"/>
        <v/>
      </c>
      <c r="X47" s="19" t="str">
        <f t="shared" ca="1" si="7"/>
        <v/>
      </c>
      <c r="Y47" s="19" t="str">
        <f t="shared" ca="1" si="8"/>
        <v/>
      </c>
      <c r="Z47" s="19" t="str">
        <f>IF(_xlfn.NUMBERVALUE($V47)&gt;0,SUMIFS($X$4:$X47,$W$4:$W47,$W47),"")</f>
        <v/>
      </c>
      <c r="AA47" s="19" t="str">
        <f>IF(_xlfn.NUMBERVALUE($V47)&gt;0,SUMIFS($X$4:$X47,$W$4:$W47,$W47)/COUNTIFS($W$4:$W47,$W47,$Y$4:$Y47,"Score"),"")</f>
        <v/>
      </c>
      <c r="AB47" s="19" t="str">
        <f t="shared" si="9"/>
        <v/>
      </c>
      <c r="AC47" s="20"/>
      <c r="AD47" s="13" t="s">
        <v>19</v>
      </c>
      <c r="AE47" s="13" t="s">
        <v>19</v>
      </c>
      <c r="AF47" s="13" t="s">
        <v>21</v>
      </c>
      <c r="AG47" s="13" t="s">
        <v>21</v>
      </c>
      <c r="AH47" s="13">
        <f ca="1">COUNTIFS($X$4:$X47,$X47)</f>
        <v>44</v>
      </c>
    </row>
    <row r="48" spans="1:34" x14ac:dyDescent="0.3">
      <c r="U48" s="55" t="str">
        <f t="shared" ca="1" si="4"/>
        <v/>
      </c>
      <c r="V48" s="17" t="str">
        <f t="shared" si="5"/>
        <v/>
      </c>
      <c r="W48" s="17" t="str">
        <f t="shared" ca="1" si="6"/>
        <v/>
      </c>
      <c r="X48" s="19" t="str">
        <f t="shared" ca="1" si="7"/>
        <v/>
      </c>
      <c r="Y48" s="19" t="str">
        <f t="shared" ca="1" si="8"/>
        <v/>
      </c>
      <c r="Z48" s="19" t="str">
        <f>IF(_xlfn.NUMBERVALUE($V48)&gt;0,SUMIFS($X$4:$X48,$W$4:$W48,$W48),"")</f>
        <v/>
      </c>
      <c r="AA48" s="19" t="str">
        <f>IF(_xlfn.NUMBERVALUE($V48)&gt;0,SUMIFS($X$4:$X48,$W$4:$W48,$W48)/COUNTIFS($W$4:$W48,$W48,$Y$4:$Y48,"Score"),"")</f>
        <v/>
      </c>
      <c r="AB48" s="19" t="str">
        <f t="shared" si="9"/>
        <v/>
      </c>
      <c r="AC48" s="20"/>
      <c r="AD48" s="13" t="s">
        <v>18</v>
      </c>
      <c r="AE48" s="13" t="s">
        <v>20</v>
      </c>
      <c r="AF48" s="13" t="s">
        <v>18</v>
      </c>
      <c r="AG48" s="13" t="s">
        <v>22</v>
      </c>
      <c r="AH48" s="13">
        <f ca="1">COUNTIFS($X$4:$X48,$X48)</f>
        <v>45</v>
      </c>
    </row>
    <row r="49" spans="21:34" x14ac:dyDescent="0.3">
      <c r="U49" s="55" t="str">
        <f t="shared" ca="1" si="4"/>
        <v/>
      </c>
      <c r="V49" s="17" t="str">
        <f t="shared" si="5"/>
        <v/>
      </c>
      <c r="W49" s="17" t="str">
        <f t="shared" ca="1" si="6"/>
        <v/>
      </c>
      <c r="X49" s="19" t="str">
        <f t="shared" ca="1" si="7"/>
        <v/>
      </c>
      <c r="Y49" s="19" t="str">
        <f t="shared" ca="1" si="8"/>
        <v/>
      </c>
      <c r="Z49" s="19" t="str">
        <f>IF(_xlfn.NUMBERVALUE($V49)&gt;0,SUMIFS($X$4:$X49,$W$4:$W49,$W49),"")</f>
        <v/>
      </c>
      <c r="AA49" s="19" t="str">
        <f>IF(_xlfn.NUMBERVALUE($V49)&gt;0,SUMIFS($X$4:$X49,$W$4:$W49,$W49)/COUNTIFS($W$4:$W49,$W49,$Y$4:$Y49,"Score"),"")</f>
        <v/>
      </c>
      <c r="AB49" s="19" t="str">
        <f t="shared" si="9"/>
        <v/>
      </c>
      <c r="AC49" s="20"/>
      <c r="AD49" s="13" t="s">
        <v>19</v>
      </c>
      <c r="AE49" s="13" t="s">
        <v>18</v>
      </c>
      <c r="AF49" s="13" t="s">
        <v>19</v>
      </c>
      <c r="AG49" s="13" t="s">
        <v>18</v>
      </c>
      <c r="AH49" s="13">
        <f ca="1">COUNTIFS($X$4:$X49,$X49)</f>
        <v>46</v>
      </c>
    </row>
    <row r="50" spans="21:34" x14ac:dyDescent="0.3">
      <c r="U50" s="55" t="str">
        <f t="shared" ca="1" si="4"/>
        <v/>
      </c>
      <c r="V50" s="17" t="str">
        <f t="shared" si="5"/>
        <v/>
      </c>
      <c r="W50" s="17" t="str">
        <f t="shared" ca="1" si="6"/>
        <v/>
      </c>
      <c r="X50" s="19" t="str">
        <f t="shared" ca="1" si="7"/>
        <v/>
      </c>
      <c r="Y50" s="19" t="str">
        <f t="shared" ca="1" si="8"/>
        <v/>
      </c>
      <c r="Z50" s="19" t="str">
        <f>IF(_xlfn.NUMBERVALUE($V50)&gt;0,SUMIFS($X$4:$X50,$W$4:$W50,$W50),"")</f>
        <v/>
      </c>
      <c r="AA50" s="19" t="str">
        <f>IF(_xlfn.NUMBERVALUE($V50)&gt;0,SUMIFS($X$4:$X50,$W$4:$W50,$W50)/COUNTIFS($W$4:$W50,$W50,$Y$4:$Y50,"Score"),"")</f>
        <v/>
      </c>
      <c r="AB50" s="19" t="str">
        <f t="shared" si="9"/>
        <v/>
      </c>
      <c r="AC50" s="20"/>
      <c r="AD50" s="13" t="s">
        <v>18</v>
      </c>
      <c r="AE50" s="13" t="s">
        <v>19</v>
      </c>
      <c r="AF50" s="13" t="s">
        <v>20</v>
      </c>
      <c r="AG50" s="13" t="s">
        <v>19</v>
      </c>
      <c r="AH50" s="13">
        <f ca="1">COUNTIFS($X$4:$X50,$X50)</f>
        <v>47</v>
      </c>
    </row>
    <row r="51" spans="21:34" x14ac:dyDescent="0.3">
      <c r="U51" s="55" t="str">
        <f t="shared" ca="1" si="4"/>
        <v/>
      </c>
      <c r="V51" s="17" t="str">
        <f t="shared" si="5"/>
        <v/>
      </c>
      <c r="W51" s="17" t="str">
        <f t="shared" ca="1" si="6"/>
        <v/>
      </c>
      <c r="X51" s="19" t="str">
        <f t="shared" ca="1" si="7"/>
        <v/>
      </c>
      <c r="Y51" s="19" t="str">
        <f t="shared" ca="1" si="8"/>
        <v/>
      </c>
      <c r="Z51" s="19" t="str">
        <f>IF(_xlfn.NUMBERVALUE($V51)&gt;0,SUMIFS($X$4:$X51,$W$4:$W51,$W51),"")</f>
        <v/>
      </c>
      <c r="AA51" s="19" t="str">
        <f>IF(_xlfn.NUMBERVALUE($V51)&gt;0,SUMIFS($X$4:$X51,$W$4:$W51,$W51)/COUNTIFS($W$4:$W51,$W51,$Y$4:$Y51,"Score"),"")</f>
        <v/>
      </c>
      <c r="AB51" s="19" t="str">
        <f t="shared" si="9"/>
        <v/>
      </c>
      <c r="AC51" s="20"/>
      <c r="AD51" s="13" t="s">
        <v>19</v>
      </c>
      <c r="AE51" s="13" t="s">
        <v>20</v>
      </c>
      <c r="AF51" s="13" t="s">
        <v>21</v>
      </c>
      <c r="AG51" s="13" t="s">
        <v>20</v>
      </c>
      <c r="AH51" s="13">
        <f ca="1">COUNTIFS($X$4:$X51,$X51)</f>
        <v>48</v>
      </c>
    </row>
    <row r="52" spans="21:34" x14ac:dyDescent="0.3">
      <c r="U52" s="55" t="str">
        <f t="shared" ca="1" si="4"/>
        <v/>
      </c>
      <c r="V52" s="17" t="str">
        <f t="shared" si="5"/>
        <v/>
      </c>
      <c r="W52" s="17" t="str">
        <f t="shared" ca="1" si="6"/>
        <v/>
      </c>
      <c r="X52" s="19" t="str">
        <f t="shared" ca="1" si="7"/>
        <v/>
      </c>
      <c r="Y52" s="19" t="str">
        <f t="shared" ca="1" si="8"/>
        <v/>
      </c>
      <c r="Z52" s="19" t="str">
        <f>IF(_xlfn.NUMBERVALUE($V52)&gt;0,SUMIFS($X$4:$X52,$W$4:$W52,$W52),"")</f>
        <v/>
      </c>
      <c r="AA52" s="19" t="str">
        <f>IF(_xlfn.NUMBERVALUE($V52)&gt;0,SUMIFS($X$4:$X52,$W$4:$W52,$W52)/COUNTIFS($W$4:$W52,$W52,$Y$4:$Y52,"Score"),"")</f>
        <v/>
      </c>
      <c r="AB52" s="19" t="str">
        <f t="shared" si="9"/>
        <v/>
      </c>
      <c r="AC52" s="20"/>
      <c r="AD52" s="13" t="s">
        <v>18</v>
      </c>
      <c r="AE52" s="13" t="s">
        <v>18</v>
      </c>
      <c r="AF52" s="13" t="s">
        <v>18</v>
      </c>
      <c r="AG52" s="13" t="s">
        <v>21</v>
      </c>
      <c r="AH52" s="13">
        <f ca="1">COUNTIFS($X$4:$X52,$X52)</f>
        <v>49</v>
      </c>
    </row>
    <row r="53" spans="21:34" x14ac:dyDescent="0.3">
      <c r="U53" s="55" t="str">
        <f t="shared" ca="1" si="4"/>
        <v/>
      </c>
      <c r="V53" s="17" t="str">
        <f t="shared" si="5"/>
        <v/>
      </c>
      <c r="W53" s="17" t="str">
        <f t="shared" ca="1" si="6"/>
        <v/>
      </c>
      <c r="X53" s="19" t="str">
        <f t="shared" ca="1" si="7"/>
        <v/>
      </c>
      <c r="Y53" s="19" t="str">
        <f t="shared" ca="1" si="8"/>
        <v/>
      </c>
      <c r="Z53" s="19" t="str">
        <f>IF(_xlfn.NUMBERVALUE($V53)&gt;0,SUMIFS($X$4:$X53,$W$4:$W53,$W53),"")</f>
        <v/>
      </c>
      <c r="AA53" s="19" t="str">
        <f>IF(_xlfn.NUMBERVALUE($V53)&gt;0,SUMIFS($X$4:$X53,$W$4:$W53,$W53)/COUNTIFS($W$4:$W53,$W53,$Y$4:$Y53,"Score"),"")</f>
        <v/>
      </c>
      <c r="AB53" s="19" t="str">
        <f t="shared" si="9"/>
        <v/>
      </c>
      <c r="AC53" s="20"/>
      <c r="AD53" s="13" t="s">
        <v>19</v>
      </c>
      <c r="AE53" s="13" t="s">
        <v>19</v>
      </c>
      <c r="AF53" s="13" t="s">
        <v>19</v>
      </c>
      <c r="AG53" s="13" t="s">
        <v>22</v>
      </c>
      <c r="AH53" s="13">
        <f ca="1">COUNTIFS($X$4:$X53,$X53)</f>
        <v>50</v>
      </c>
    </row>
    <row r="54" spans="21:34" x14ac:dyDescent="0.3">
      <c r="U54" s="55" t="str">
        <f t="shared" ca="1" si="4"/>
        <v/>
      </c>
      <c r="V54" s="17" t="str">
        <f t="shared" si="5"/>
        <v/>
      </c>
      <c r="W54" s="17" t="str">
        <f t="shared" ca="1" si="6"/>
        <v/>
      </c>
      <c r="X54" s="19" t="str">
        <f t="shared" ca="1" si="7"/>
        <v/>
      </c>
      <c r="Y54" s="19" t="str">
        <f t="shared" ca="1" si="8"/>
        <v/>
      </c>
      <c r="Z54" s="19" t="str">
        <f>IF(_xlfn.NUMBERVALUE($V54)&gt;0,SUMIFS($X$4:$X54,$W$4:$W54,$W54),"")</f>
        <v/>
      </c>
      <c r="AA54" s="19" t="str">
        <f>IF(_xlfn.NUMBERVALUE($V54)&gt;0,SUMIFS($X$4:$X54,$W$4:$W54,$W54)/COUNTIFS($W$4:$W54,$W54,$Y$4:$Y54,"Score"),"")</f>
        <v/>
      </c>
      <c r="AB54" s="19" t="str">
        <f t="shared" si="9"/>
        <v/>
      </c>
      <c r="AC54" s="20"/>
      <c r="AD54" s="13" t="s">
        <v>18</v>
      </c>
      <c r="AE54" s="13" t="s">
        <v>20</v>
      </c>
      <c r="AF54" s="13" t="s">
        <v>20</v>
      </c>
      <c r="AG54" s="13" t="s">
        <v>18</v>
      </c>
      <c r="AH54" s="13">
        <f ca="1">COUNTIFS($X$4:$X54,$X54)</f>
        <v>51</v>
      </c>
    </row>
    <row r="55" spans="21:34" x14ac:dyDescent="0.3">
      <c r="U55" s="55" t="str">
        <f t="shared" ca="1" si="4"/>
        <v/>
      </c>
      <c r="V55" s="17" t="str">
        <f t="shared" si="5"/>
        <v/>
      </c>
      <c r="W55" s="17" t="str">
        <f t="shared" ca="1" si="6"/>
        <v/>
      </c>
      <c r="X55" s="19" t="str">
        <f t="shared" ca="1" si="7"/>
        <v/>
      </c>
      <c r="Y55" s="19" t="str">
        <f t="shared" ca="1" si="8"/>
        <v/>
      </c>
      <c r="Z55" s="19" t="str">
        <f>IF(_xlfn.NUMBERVALUE($V55)&gt;0,SUMIFS($X$4:$X55,$W$4:$W55,$W55),"")</f>
        <v/>
      </c>
      <c r="AA55" s="19" t="str">
        <f>IF(_xlfn.NUMBERVALUE($V55)&gt;0,SUMIFS($X$4:$X55,$W$4:$W55,$W55)/COUNTIFS($W$4:$W55,$W55,$Y$4:$Y55,"Score"),"")</f>
        <v/>
      </c>
      <c r="AB55" s="19" t="str">
        <f t="shared" si="9"/>
        <v/>
      </c>
      <c r="AC55" s="20"/>
      <c r="AD55" s="13" t="s">
        <v>19</v>
      </c>
      <c r="AE55" s="13" t="s">
        <v>18</v>
      </c>
      <c r="AF55" s="13" t="s">
        <v>21</v>
      </c>
      <c r="AG55" s="13" t="s">
        <v>19</v>
      </c>
      <c r="AH55" s="13">
        <f ca="1">COUNTIFS($X$4:$X55,$X55)</f>
        <v>52</v>
      </c>
    </row>
    <row r="56" spans="21:34" x14ac:dyDescent="0.3">
      <c r="U56" s="55" t="str">
        <f t="shared" ca="1" si="4"/>
        <v/>
      </c>
      <c r="V56" s="17" t="str">
        <f t="shared" si="5"/>
        <v/>
      </c>
      <c r="W56" s="17" t="str">
        <f t="shared" ca="1" si="6"/>
        <v/>
      </c>
      <c r="X56" s="19" t="str">
        <f t="shared" ca="1" si="7"/>
        <v/>
      </c>
      <c r="Y56" s="19" t="str">
        <f t="shared" ca="1" si="8"/>
        <v/>
      </c>
      <c r="Z56" s="19" t="str">
        <f>IF(_xlfn.NUMBERVALUE($V56)&gt;0,SUMIFS($X$4:$X56,$W$4:$W56,$W56),"")</f>
        <v/>
      </c>
      <c r="AA56" s="19" t="str">
        <f>IF(_xlfn.NUMBERVALUE($V56)&gt;0,SUMIFS($X$4:$X56,$W$4:$W56,$W56)/COUNTIFS($W$4:$W56,$W56,$Y$4:$Y56,"Score"),"")</f>
        <v/>
      </c>
      <c r="AB56" s="19" t="str">
        <f t="shared" si="9"/>
        <v/>
      </c>
      <c r="AC56" s="20"/>
      <c r="AD56" s="13" t="s">
        <v>18</v>
      </c>
      <c r="AE56" s="13" t="s">
        <v>19</v>
      </c>
      <c r="AF56" s="13" t="s">
        <v>18</v>
      </c>
      <c r="AG56" s="13" t="s">
        <v>20</v>
      </c>
      <c r="AH56" s="13">
        <f ca="1">COUNTIFS($X$4:$X56,$X56)</f>
        <v>53</v>
      </c>
    </row>
    <row r="57" spans="21:34" x14ac:dyDescent="0.3">
      <c r="U57" s="55" t="str">
        <f t="shared" ca="1" si="4"/>
        <v/>
      </c>
      <c r="V57" s="17" t="str">
        <f t="shared" si="5"/>
        <v/>
      </c>
      <c r="W57" s="17" t="str">
        <f t="shared" ca="1" si="6"/>
        <v/>
      </c>
      <c r="X57" s="19" t="str">
        <f t="shared" ca="1" si="7"/>
        <v/>
      </c>
      <c r="Y57" s="19" t="str">
        <f t="shared" ca="1" si="8"/>
        <v/>
      </c>
      <c r="Z57" s="19" t="str">
        <f>IF(_xlfn.NUMBERVALUE($V57)&gt;0,SUMIFS($X$4:$X57,$W$4:$W57,$W57),"")</f>
        <v/>
      </c>
      <c r="AA57" s="19" t="str">
        <f>IF(_xlfn.NUMBERVALUE($V57)&gt;0,SUMIFS($X$4:$X57,$W$4:$W57,$W57)/COUNTIFS($W$4:$W57,$W57,$Y$4:$Y57,"Score"),"")</f>
        <v/>
      </c>
      <c r="AB57" s="19" t="str">
        <f t="shared" si="9"/>
        <v/>
      </c>
      <c r="AC57" s="20"/>
      <c r="AD57" s="13" t="s">
        <v>19</v>
      </c>
      <c r="AE57" s="13" t="s">
        <v>20</v>
      </c>
      <c r="AF57" s="13" t="s">
        <v>19</v>
      </c>
      <c r="AG57" s="13" t="s">
        <v>21</v>
      </c>
      <c r="AH57" s="13">
        <f ca="1">COUNTIFS($X$4:$X57,$X57)</f>
        <v>54</v>
      </c>
    </row>
    <row r="58" spans="21:34" x14ac:dyDescent="0.3">
      <c r="U58" s="55" t="str">
        <f t="shared" ca="1" si="4"/>
        <v/>
      </c>
      <c r="V58" s="17" t="str">
        <f t="shared" si="5"/>
        <v/>
      </c>
      <c r="W58" s="17" t="str">
        <f t="shared" ca="1" si="6"/>
        <v/>
      </c>
      <c r="X58" s="19" t="str">
        <f t="shared" ca="1" si="7"/>
        <v/>
      </c>
      <c r="Y58" s="19" t="str">
        <f t="shared" ca="1" si="8"/>
        <v/>
      </c>
      <c r="Z58" s="19" t="str">
        <f>IF(_xlfn.NUMBERVALUE($V58)&gt;0,SUMIFS($X$4:$X58,$W$4:$W58,$W58),"")</f>
        <v/>
      </c>
      <c r="AA58" s="19" t="str">
        <f>IF(_xlfn.NUMBERVALUE($V58)&gt;0,SUMIFS($X$4:$X58,$W$4:$W58,$W58)/COUNTIFS($W$4:$W58,$W58,$Y$4:$Y58,"Score"),"")</f>
        <v/>
      </c>
      <c r="AB58" s="19" t="str">
        <f t="shared" si="9"/>
        <v/>
      </c>
      <c r="AC58" s="20"/>
      <c r="AD58" s="13" t="s">
        <v>18</v>
      </c>
      <c r="AE58" s="13" t="s">
        <v>18</v>
      </c>
      <c r="AF58" s="13" t="s">
        <v>20</v>
      </c>
      <c r="AG58" s="13" t="s">
        <v>22</v>
      </c>
      <c r="AH58" s="13">
        <f ca="1">COUNTIFS($X$4:$X58,$X58)</f>
        <v>55</v>
      </c>
    </row>
    <row r="59" spans="21:34" x14ac:dyDescent="0.3">
      <c r="U59" s="55" t="str">
        <f t="shared" ca="1" si="4"/>
        <v/>
      </c>
      <c r="V59" s="17" t="str">
        <f t="shared" si="5"/>
        <v/>
      </c>
      <c r="W59" s="17" t="str">
        <f t="shared" ca="1" si="6"/>
        <v/>
      </c>
      <c r="X59" s="19" t="str">
        <f t="shared" ca="1" si="7"/>
        <v/>
      </c>
      <c r="Y59" s="19" t="str">
        <f t="shared" ca="1" si="8"/>
        <v/>
      </c>
      <c r="Z59" s="19" t="str">
        <f>IF(_xlfn.NUMBERVALUE($V59)&gt;0,SUMIFS($X$4:$X59,$W$4:$W59,$W59),"")</f>
        <v/>
      </c>
      <c r="AA59" s="19" t="str">
        <f>IF(_xlfn.NUMBERVALUE($V59)&gt;0,SUMIFS($X$4:$X59,$W$4:$W59,$W59)/COUNTIFS($W$4:$W59,$W59,$Y$4:$Y59,"Score"),"")</f>
        <v/>
      </c>
      <c r="AB59" s="19" t="str">
        <f t="shared" si="9"/>
        <v/>
      </c>
      <c r="AC59" s="20"/>
      <c r="AD59" s="13" t="s">
        <v>19</v>
      </c>
      <c r="AE59" s="13" t="s">
        <v>19</v>
      </c>
      <c r="AF59" s="13" t="s">
        <v>21</v>
      </c>
      <c r="AG59" s="13" t="s">
        <v>18</v>
      </c>
      <c r="AH59" s="13">
        <f ca="1">COUNTIFS($X$4:$X59,$X59)</f>
        <v>56</v>
      </c>
    </row>
    <row r="60" spans="21:34" x14ac:dyDescent="0.3">
      <c r="U60" s="55" t="str">
        <f t="shared" ca="1" si="4"/>
        <v/>
      </c>
      <c r="V60" s="17" t="str">
        <f t="shared" si="5"/>
        <v/>
      </c>
      <c r="W60" s="17" t="str">
        <f t="shared" ca="1" si="6"/>
        <v/>
      </c>
      <c r="X60" s="19" t="str">
        <f t="shared" ca="1" si="7"/>
        <v/>
      </c>
      <c r="Y60" s="19" t="str">
        <f t="shared" ca="1" si="8"/>
        <v/>
      </c>
      <c r="Z60" s="19" t="str">
        <f>IF(_xlfn.NUMBERVALUE($V60)&gt;0,SUMIFS($X$4:$X60,$W$4:$W60,$W60),"")</f>
        <v/>
      </c>
      <c r="AA60" s="19" t="str">
        <f>IF(_xlfn.NUMBERVALUE($V60)&gt;0,SUMIFS($X$4:$X60,$W$4:$W60,$W60)/COUNTIFS($W$4:$W60,$W60,$Y$4:$Y60,"Score"),"")</f>
        <v/>
      </c>
      <c r="AB60" s="19" t="str">
        <f t="shared" si="9"/>
        <v/>
      </c>
      <c r="AC60" s="20"/>
      <c r="AD60" s="13" t="s">
        <v>18</v>
      </c>
      <c r="AE60" s="13" t="s">
        <v>20</v>
      </c>
      <c r="AF60" s="13" t="s">
        <v>18</v>
      </c>
      <c r="AG60" s="13" t="s">
        <v>19</v>
      </c>
      <c r="AH60" s="13">
        <f ca="1">COUNTIFS($X$4:$X60,$X60)</f>
        <v>57</v>
      </c>
    </row>
    <row r="61" spans="21:34" x14ac:dyDescent="0.3">
      <c r="U61" s="55" t="str">
        <f t="shared" ca="1" si="4"/>
        <v/>
      </c>
      <c r="V61" s="17" t="str">
        <f t="shared" si="5"/>
        <v/>
      </c>
      <c r="W61" s="17" t="str">
        <f t="shared" ca="1" si="6"/>
        <v/>
      </c>
      <c r="X61" s="19" t="str">
        <f t="shared" ca="1" si="7"/>
        <v/>
      </c>
      <c r="Y61" s="19" t="str">
        <f t="shared" ca="1" si="8"/>
        <v/>
      </c>
      <c r="Z61" s="19" t="str">
        <f>IF(_xlfn.NUMBERVALUE($V61)&gt;0,SUMIFS($X$4:$X61,$W$4:$W61,$W61),"")</f>
        <v/>
      </c>
      <c r="AA61" s="19" t="str">
        <f>IF(_xlfn.NUMBERVALUE($V61)&gt;0,SUMIFS($X$4:$X61,$W$4:$W61,$W61)/COUNTIFS($W$4:$W61,$W61,$Y$4:$Y61,"Score"),"")</f>
        <v/>
      </c>
      <c r="AB61" s="19" t="str">
        <f t="shared" si="9"/>
        <v/>
      </c>
      <c r="AC61" s="20"/>
      <c r="AD61" s="13" t="s">
        <v>19</v>
      </c>
      <c r="AE61" s="13" t="s">
        <v>18</v>
      </c>
      <c r="AF61" s="13" t="s">
        <v>19</v>
      </c>
      <c r="AG61" s="13" t="s">
        <v>20</v>
      </c>
      <c r="AH61" s="13">
        <f ca="1">COUNTIFS($X$4:$X61,$X61)</f>
        <v>58</v>
      </c>
    </row>
    <row r="62" spans="21:34" x14ac:dyDescent="0.3">
      <c r="U62" s="55" t="str">
        <f t="shared" ca="1" si="4"/>
        <v/>
      </c>
      <c r="V62" s="17" t="str">
        <f t="shared" si="5"/>
        <v/>
      </c>
      <c r="W62" s="17" t="str">
        <f t="shared" ca="1" si="6"/>
        <v/>
      </c>
      <c r="X62" s="19" t="str">
        <f t="shared" ca="1" si="7"/>
        <v/>
      </c>
      <c r="Y62" s="19" t="str">
        <f t="shared" ca="1" si="8"/>
        <v/>
      </c>
      <c r="Z62" s="19" t="str">
        <f>IF(_xlfn.NUMBERVALUE($V62)&gt;0,SUMIFS($X$4:$X62,$W$4:$W62,$W62),"")</f>
        <v/>
      </c>
      <c r="AA62" s="19" t="str">
        <f>IF(_xlfn.NUMBERVALUE($V62)&gt;0,SUMIFS($X$4:$X62,$W$4:$W62,$W62)/COUNTIFS($W$4:$W62,$W62,$Y$4:$Y62,"Score"),"")</f>
        <v/>
      </c>
      <c r="AB62" s="19" t="str">
        <f t="shared" si="9"/>
        <v/>
      </c>
      <c r="AC62" s="20"/>
      <c r="AD62" s="13" t="s">
        <v>18</v>
      </c>
      <c r="AE62" s="13" t="s">
        <v>19</v>
      </c>
      <c r="AF62" s="13" t="s">
        <v>20</v>
      </c>
      <c r="AG62" s="13" t="s">
        <v>21</v>
      </c>
      <c r="AH62" s="13">
        <f ca="1">COUNTIFS($X$4:$X62,$X62)</f>
        <v>59</v>
      </c>
    </row>
    <row r="63" spans="21:34" x14ac:dyDescent="0.3">
      <c r="U63" s="55" t="str">
        <f t="shared" ca="1" si="4"/>
        <v/>
      </c>
      <c r="V63" s="17" t="str">
        <f t="shared" si="5"/>
        <v/>
      </c>
      <c r="W63" s="17" t="str">
        <f t="shared" ca="1" si="6"/>
        <v/>
      </c>
      <c r="X63" s="19" t="str">
        <f t="shared" ca="1" si="7"/>
        <v/>
      </c>
      <c r="Y63" s="19" t="str">
        <f t="shared" ca="1" si="8"/>
        <v/>
      </c>
      <c r="Z63" s="19" t="str">
        <f>IF(_xlfn.NUMBERVALUE($V63)&gt;0,SUMIFS($X$4:$X63,$W$4:$W63,$W63),"")</f>
        <v/>
      </c>
      <c r="AA63" s="19" t="str">
        <f>IF(_xlfn.NUMBERVALUE($V63)&gt;0,SUMIFS($X$4:$X63,$W$4:$W63,$W63)/COUNTIFS($W$4:$W63,$W63,$Y$4:$Y63,"Score"),"")</f>
        <v/>
      </c>
      <c r="AB63" s="19" t="str">
        <f t="shared" si="9"/>
        <v/>
      </c>
      <c r="AC63" s="20"/>
      <c r="AD63" s="13" t="s">
        <v>19</v>
      </c>
      <c r="AE63" s="13" t="s">
        <v>20</v>
      </c>
      <c r="AF63" s="13" t="s">
        <v>21</v>
      </c>
      <c r="AG63" s="13" t="s">
        <v>22</v>
      </c>
      <c r="AH63" s="13">
        <f ca="1">COUNTIFS($X$4:$X63,$X63)</f>
        <v>60</v>
      </c>
    </row>
    <row r="64" spans="21:34" x14ac:dyDescent="0.3">
      <c r="U64" s="55" t="str">
        <f t="shared" ca="1" si="4"/>
        <v/>
      </c>
      <c r="V64" s="17" t="str">
        <f t="shared" si="5"/>
        <v/>
      </c>
      <c r="W64" s="17" t="str">
        <f t="shared" ca="1" si="6"/>
        <v/>
      </c>
      <c r="X64" s="19" t="str">
        <f t="shared" ca="1" si="7"/>
        <v/>
      </c>
      <c r="Y64" s="19" t="str">
        <f t="shared" ca="1" si="8"/>
        <v/>
      </c>
      <c r="Z64" s="19" t="str">
        <f>IF(_xlfn.NUMBERVALUE($V64)&gt;0,SUMIFS($X$4:$X64,$W$4:$W64,$W64),"")</f>
        <v/>
      </c>
      <c r="AA64" s="19" t="str">
        <f>IF(_xlfn.NUMBERVALUE($V64)&gt;0,SUMIFS($X$4:$X64,$W$4:$W64,$W64)/COUNTIFS($W$4:$W64,$W64,$Y$4:$Y64,"Score"),"")</f>
        <v/>
      </c>
      <c r="AB64" s="19" t="str">
        <f t="shared" si="9"/>
        <v/>
      </c>
      <c r="AC64" s="20"/>
      <c r="AD64" s="13" t="s">
        <v>18</v>
      </c>
      <c r="AE64" s="13" t="s">
        <v>18</v>
      </c>
      <c r="AF64" s="13" t="s">
        <v>18</v>
      </c>
      <c r="AG64" s="13" t="s">
        <v>18</v>
      </c>
      <c r="AH64" s="13">
        <f ca="1">COUNTIFS($X$4:$X64,$X64)</f>
        <v>61</v>
      </c>
    </row>
    <row r="65" spans="21:34" x14ac:dyDescent="0.3">
      <c r="U65" s="55" t="str">
        <f t="shared" ca="1" si="4"/>
        <v/>
      </c>
      <c r="V65" s="17" t="str">
        <f t="shared" si="5"/>
        <v/>
      </c>
      <c r="W65" s="17" t="str">
        <f t="shared" ca="1" si="6"/>
        <v/>
      </c>
      <c r="X65" s="19" t="str">
        <f t="shared" ca="1" si="7"/>
        <v/>
      </c>
      <c r="Y65" s="19" t="str">
        <f t="shared" ca="1" si="8"/>
        <v/>
      </c>
      <c r="Z65" s="19" t="str">
        <f>IF(_xlfn.NUMBERVALUE($V65)&gt;0,SUMIFS($X$4:$X65,$W$4:$W65,$W65),"")</f>
        <v/>
      </c>
      <c r="AA65" s="19" t="str">
        <f>IF(_xlfn.NUMBERVALUE($V65)&gt;0,SUMIFS($X$4:$X65,$W$4:$W65,$W65)/COUNTIFS($W$4:$W65,$W65,$Y$4:$Y65,"Score"),"")</f>
        <v/>
      </c>
      <c r="AB65" s="19" t="str">
        <f t="shared" si="9"/>
        <v/>
      </c>
      <c r="AC65" s="20"/>
      <c r="AD65" s="13" t="s">
        <v>19</v>
      </c>
      <c r="AE65" s="13" t="s">
        <v>19</v>
      </c>
      <c r="AF65" s="13" t="s">
        <v>19</v>
      </c>
      <c r="AG65" s="13" t="s">
        <v>19</v>
      </c>
      <c r="AH65" s="13">
        <f ca="1">COUNTIFS($X$4:$X65,$X65)</f>
        <v>62</v>
      </c>
    </row>
    <row r="66" spans="21:34" x14ac:dyDescent="0.3">
      <c r="U66" s="55" t="str">
        <f t="shared" ca="1" si="4"/>
        <v/>
      </c>
      <c r="V66" s="17" t="str">
        <f t="shared" si="5"/>
        <v/>
      </c>
      <c r="W66" s="17" t="str">
        <f t="shared" ca="1" si="6"/>
        <v/>
      </c>
      <c r="X66" s="19" t="str">
        <f t="shared" ca="1" si="7"/>
        <v/>
      </c>
      <c r="Y66" s="19" t="str">
        <f t="shared" ca="1" si="8"/>
        <v/>
      </c>
      <c r="Z66" s="19" t="str">
        <f>IF(_xlfn.NUMBERVALUE($V66)&gt;0,SUMIFS($X$4:$X66,$W$4:$W66,$W66),"")</f>
        <v/>
      </c>
      <c r="AA66" s="19" t="str">
        <f>IF(_xlfn.NUMBERVALUE($V66)&gt;0,SUMIFS($X$4:$X66,$W$4:$W66,$W66)/COUNTIFS($W$4:$W66,$W66,$Y$4:$Y66,"Score"),"")</f>
        <v/>
      </c>
      <c r="AB66" s="19" t="str">
        <f t="shared" si="9"/>
        <v/>
      </c>
      <c r="AC66" s="20"/>
      <c r="AD66" s="13" t="s">
        <v>18</v>
      </c>
      <c r="AE66" s="13" t="s">
        <v>20</v>
      </c>
      <c r="AF66" s="13" t="s">
        <v>20</v>
      </c>
      <c r="AG66" s="13" t="s">
        <v>20</v>
      </c>
      <c r="AH66" s="13">
        <f ca="1">COUNTIFS($X$4:$X66,$X66)</f>
        <v>63</v>
      </c>
    </row>
    <row r="67" spans="21:34" x14ac:dyDescent="0.3">
      <c r="U67" s="55" t="str">
        <f t="shared" ca="1" si="4"/>
        <v/>
      </c>
      <c r="V67" s="17" t="str">
        <f t="shared" si="5"/>
        <v/>
      </c>
      <c r="W67" s="17" t="str">
        <f t="shared" ca="1" si="6"/>
        <v/>
      </c>
      <c r="X67" s="19" t="str">
        <f t="shared" ca="1" si="7"/>
        <v/>
      </c>
      <c r="Y67" s="19" t="str">
        <f t="shared" ca="1" si="8"/>
        <v/>
      </c>
      <c r="Z67" s="19" t="str">
        <f>IF(_xlfn.NUMBERVALUE($V67)&gt;0,SUMIFS($X$4:$X67,$W$4:$W67,$W67),"")</f>
        <v/>
      </c>
      <c r="AA67" s="19" t="str">
        <f>IF(_xlfn.NUMBERVALUE($V67)&gt;0,SUMIFS($X$4:$X67,$W$4:$W67,$W67)/COUNTIFS($W$4:$W67,$W67,$Y$4:$Y67,"Score"),"")</f>
        <v/>
      </c>
      <c r="AB67" s="19" t="str">
        <f t="shared" si="9"/>
        <v/>
      </c>
      <c r="AC67" s="20"/>
      <c r="AD67" s="13" t="s">
        <v>19</v>
      </c>
      <c r="AE67" s="13" t="s">
        <v>18</v>
      </c>
      <c r="AF67" s="13" t="s">
        <v>21</v>
      </c>
      <c r="AG67" s="13" t="s">
        <v>21</v>
      </c>
      <c r="AH67" s="13">
        <f ca="1">COUNTIFS($X$4:$X67,$X67)</f>
        <v>64</v>
      </c>
    </row>
    <row r="68" spans="21:34" x14ac:dyDescent="0.3">
      <c r="U68" s="55" t="str">
        <f t="shared" ca="1" si="4"/>
        <v/>
      </c>
      <c r="V68" s="17" t="str">
        <f t="shared" si="5"/>
        <v/>
      </c>
      <c r="W68" s="17" t="str">
        <f t="shared" ca="1" si="6"/>
        <v/>
      </c>
      <c r="X68" s="19" t="str">
        <f t="shared" ca="1" si="7"/>
        <v/>
      </c>
      <c r="Y68" s="19" t="str">
        <f t="shared" ca="1" si="8"/>
        <v/>
      </c>
      <c r="Z68" s="19" t="str">
        <f>IF(_xlfn.NUMBERVALUE($V68)&gt;0,SUMIFS($X$4:$X68,$W$4:$W68,$W68),"")</f>
        <v/>
      </c>
      <c r="AA68" s="19" t="str">
        <f>IF(_xlfn.NUMBERVALUE($V68)&gt;0,SUMIFS($X$4:$X68,$W$4:$W68,$W68)/COUNTIFS($W$4:$W68,$W68,$Y$4:$Y68,"Score"),"")</f>
        <v/>
      </c>
      <c r="AB68" s="19" t="str">
        <f t="shared" si="9"/>
        <v/>
      </c>
      <c r="AC68" s="20"/>
      <c r="AD68" s="13" t="s">
        <v>18</v>
      </c>
      <c r="AE68" s="13" t="s">
        <v>19</v>
      </c>
      <c r="AF68" s="13" t="s">
        <v>18</v>
      </c>
      <c r="AG68" s="13" t="s">
        <v>22</v>
      </c>
      <c r="AH68" s="13">
        <f ca="1">COUNTIFS($X$4:$X68,$X68)</f>
        <v>65</v>
      </c>
    </row>
    <row r="69" spans="21:34" x14ac:dyDescent="0.3">
      <c r="U69" s="55" t="str">
        <f t="shared" ref="U69:U123" ca="1" si="19">IF(LEN($Y69)&gt;3,$N$4,"")</f>
        <v/>
      </c>
      <c r="V69" s="17" t="str">
        <f t="shared" ref="V69:V123" si="20">IF((ROW()-COUNTBLANK($T$1:$T$3))&lt;COUNT($B$4:$B$33,$D$4:$D$33,$F$4:$F$33,$H$4:$H$33,$J$4:$J$33)+1,ROW()-COUNTBLANK($T$1:$T$3),"")</f>
        <v/>
      </c>
      <c r="W69" s="17" t="str">
        <f t="shared" ref="W69:W123" ca="1" si="21">IF(_xlfn.NUMBERVALUE($V69)&gt;0,INDIRECT(INDIRECT(HLOOKUP($N$5,$AD$2:$AG$3,2,FALSE)&amp;ROW())&amp;"3"),"")</f>
        <v/>
      </c>
      <c r="X69" s="19" t="str">
        <f t="shared" ref="X69:X123" ca="1" si="22">IF(_xlfn.NUMBERVALUE($V69)&gt;0,INDIRECT(INDIRECT(HLOOKUP($N$5,$AD$2:$AG$3,2,FALSE)&amp;ROW())&amp;COUNTIFS(INDIRECT(HLOOKUP($N$5,$AD$2:$AG$3,2,FALSE)&amp;"4:"&amp;HLOOKUP($N$5,$AD$2:$AG$3,2,FALSE)&amp;ROW()),INDIRECT(HLOOKUP($N$5,$AD$2:$AG$3,2,FALSE)&amp;ROW()))+3),"")</f>
        <v/>
      </c>
      <c r="Y69" s="19" t="str">
        <f t="shared" ref="Y69:Y123" ca="1" si="23">IF(X69&lt;0,"Deduction",IF(ISNUMBER(X69),"Score",""))</f>
        <v/>
      </c>
      <c r="Z69" s="19" t="str">
        <f>IF(_xlfn.NUMBERVALUE($V69)&gt;0,SUMIFS($X$4:$X69,$W$4:$W69,$W69),"")</f>
        <v/>
      </c>
      <c r="AA69" s="19" t="str">
        <f>IF(_xlfn.NUMBERVALUE($V69)&gt;0,SUMIFS($X$4:$X69,$W$4:$W69,$W69)/COUNTIFS($W$4:$W69,$W69,$Y$4:$Y69,"Score"),"")</f>
        <v/>
      </c>
      <c r="AB69" s="19" t="str">
        <f t="shared" ref="AB69:AB123" si="24">IF(_xlfn.NUMBERVALUE($V69)&gt;0,$X69-$AA69,"")</f>
        <v/>
      </c>
      <c r="AC69" s="20"/>
      <c r="AD69" s="13" t="s">
        <v>19</v>
      </c>
      <c r="AE69" s="13" t="s">
        <v>20</v>
      </c>
      <c r="AF69" s="13" t="s">
        <v>19</v>
      </c>
      <c r="AG69" s="13" t="s">
        <v>18</v>
      </c>
      <c r="AH69" s="13">
        <f ca="1">COUNTIFS($X$4:$X69,$X69)</f>
        <v>66</v>
      </c>
    </row>
    <row r="70" spans="21:34" x14ac:dyDescent="0.3">
      <c r="U70" s="55" t="str">
        <f t="shared" ca="1" si="19"/>
        <v/>
      </c>
      <c r="V70" s="17" t="str">
        <f t="shared" si="20"/>
        <v/>
      </c>
      <c r="W70" s="17" t="str">
        <f t="shared" ca="1" si="21"/>
        <v/>
      </c>
      <c r="X70" s="19" t="str">
        <f t="shared" ca="1" si="22"/>
        <v/>
      </c>
      <c r="Y70" s="19" t="str">
        <f t="shared" ca="1" si="23"/>
        <v/>
      </c>
      <c r="Z70" s="19" t="str">
        <f>IF(_xlfn.NUMBERVALUE($V70)&gt;0,SUMIFS($X$4:$X70,$W$4:$W70,$W70),"")</f>
        <v/>
      </c>
      <c r="AA70" s="19" t="str">
        <f>IF(_xlfn.NUMBERVALUE($V70)&gt;0,SUMIFS($X$4:$X70,$W$4:$W70,$W70)/COUNTIFS($W$4:$W70,$W70,$Y$4:$Y70,"Score"),"")</f>
        <v/>
      </c>
      <c r="AB70" s="19" t="str">
        <f t="shared" si="24"/>
        <v/>
      </c>
      <c r="AC70" s="20"/>
      <c r="AD70" s="13" t="s">
        <v>18</v>
      </c>
      <c r="AE70" s="13" t="s">
        <v>18</v>
      </c>
      <c r="AF70" s="13" t="s">
        <v>20</v>
      </c>
      <c r="AG70" s="13" t="s">
        <v>19</v>
      </c>
      <c r="AH70" s="13">
        <f ca="1">COUNTIFS($X$4:$X70,$X70)</f>
        <v>67</v>
      </c>
    </row>
    <row r="71" spans="21:34" x14ac:dyDescent="0.3">
      <c r="U71" s="55" t="str">
        <f t="shared" ca="1" si="19"/>
        <v/>
      </c>
      <c r="V71" s="17" t="str">
        <f t="shared" si="20"/>
        <v/>
      </c>
      <c r="W71" s="17" t="str">
        <f t="shared" ca="1" si="21"/>
        <v/>
      </c>
      <c r="X71" s="19" t="str">
        <f t="shared" ca="1" si="22"/>
        <v/>
      </c>
      <c r="Y71" s="19" t="str">
        <f t="shared" ca="1" si="23"/>
        <v/>
      </c>
      <c r="Z71" s="19" t="str">
        <f>IF(_xlfn.NUMBERVALUE($V71)&gt;0,SUMIFS($X$4:$X71,$W$4:$W71,$W71),"")</f>
        <v/>
      </c>
      <c r="AA71" s="19" t="str">
        <f>IF(_xlfn.NUMBERVALUE($V71)&gt;0,SUMIFS($X$4:$X71,$W$4:$W71,$W71)/COUNTIFS($W$4:$W71,$W71,$Y$4:$Y71,"Score"),"")</f>
        <v/>
      </c>
      <c r="AB71" s="19" t="str">
        <f t="shared" si="24"/>
        <v/>
      </c>
      <c r="AC71" s="20"/>
      <c r="AD71" s="13" t="s">
        <v>19</v>
      </c>
      <c r="AE71" s="13" t="s">
        <v>19</v>
      </c>
      <c r="AF71" s="13" t="s">
        <v>21</v>
      </c>
      <c r="AG71" s="13" t="s">
        <v>20</v>
      </c>
      <c r="AH71" s="13">
        <f ca="1">COUNTIFS($X$4:$X71,$X71)</f>
        <v>68</v>
      </c>
    </row>
    <row r="72" spans="21:34" x14ac:dyDescent="0.3">
      <c r="U72" s="55" t="str">
        <f t="shared" ca="1" si="19"/>
        <v/>
      </c>
      <c r="V72" s="17" t="str">
        <f t="shared" si="20"/>
        <v/>
      </c>
      <c r="W72" s="17" t="str">
        <f t="shared" ca="1" si="21"/>
        <v/>
      </c>
      <c r="X72" s="19" t="str">
        <f t="shared" ca="1" si="22"/>
        <v/>
      </c>
      <c r="Y72" s="19" t="str">
        <f t="shared" ca="1" si="23"/>
        <v/>
      </c>
      <c r="Z72" s="19" t="str">
        <f>IF(_xlfn.NUMBERVALUE($V72)&gt;0,SUMIFS($X$4:$X72,$W$4:$W72,$W72),"")</f>
        <v/>
      </c>
      <c r="AA72" s="19" t="str">
        <f>IF(_xlfn.NUMBERVALUE($V72)&gt;0,SUMIFS($X$4:$X72,$W$4:$W72,$W72)/COUNTIFS($W$4:$W72,$W72,$Y$4:$Y72,"Score"),"")</f>
        <v/>
      </c>
      <c r="AB72" s="19" t="str">
        <f t="shared" si="24"/>
        <v/>
      </c>
      <c r="AC72" s="20"/>
      <c r="AD72" s="13" t="s">
        <v>18</v>
      </c>
      <c r="AE72" s="13" t="s">
        <v>20</v>
      </c>
      <c r="AF72" s="13" t="s">
        <v>18</v>
      </c>
      <c r="AG72" s="13" t="s">
        <v>21</v>
      </c>
      <c r="AH72" s="13">
        <f ca="1">COUNTIFS($X$4:$X72,$X72)</f>
        <v>69</v>
      </c>
    </row>
    <row r="73" spans="21:34" x14ac:dyDescent="0.3">
      <c r="U73" s="55" t="str">
        <f t="shared" ca="1" si="19"/>
        <v/>
      </c>
      <c r="V73" s="17" t="str">
        <f t="shared" si="20"/>
        <v/>
      </c>
      <c r="W73" s="17" t="str">
        <f t="shared" ca="1" si="21"/>
        <v/>
      </c>
      <c r="X73" s="19" t="str">
        <f t="shared" ca="1" si="22"/>
        <v/>
      </c>
      <c r="Y73" s="19" t="str">
        <f t="shared" ca="1" si="23"/>
        <v/>
      </c>
      <c r="Z73" s="19" t="str">
        <f>IF(_xlfn.NUMBERVALUE($V73)&gt;0,SUMIFS($X$4:$X73,$W$4:$W73,$W73),"")</f>
        <v/>
      </c>
      <c r="AA73" s="19" t="str">
        <f>IF(_xlfn.NUMBERVALUE($V73)&gt;0,SUMIFS($X$4:$X73,$W$4:$W73,$W73)/COUNTIFS($W$4:$W73,$W73,$Y$4:$Y73,"Score"),"")</f>
        <v/>
      </c>
      <c r="AB73" s="19" t="str">
        <f t="shared" si="24"/>
        <v/>
      </c>
      <c r="AC73" s="20"/>
      <c r="AD73" s="13" t="s">
        <v>19</v>
      </c>
      <c r="AE73" s="13" t="s">
        <v>18</v>
      </c>
      <c r="AF73" s="13" t="s">
        <v>19</v>
      </c>
      <c r="AG73" s="13" t="s">
        <v>22</v>
      </c>
      <c r="AH73" s="13">
        <f ca="1">COUNTIFS($X$4:$X73,$X73)</f>
        <v>70</v>
      </c>
    </row>
    <row r="74" spans="21:34" x14ac:dyDescent="0.3">
      <c r="U74" s="55" t="str">
        <f t="shared" ca="1" si="19"/>
        <v/>
      </c>
      <c r="V74" s="17" t="str">
        <f t="shared" si="20"/>
        <v/>
      </c>
      <c r="W74" s="17" t="str">
        <f t="shared" ca="1" si="21"/>
        <v/>
      </c>
      <c r="X74" s="19" t="str">
        <f t="shared" ca="1" si="22"/>
        <v/>
      </c>
      <c r="Y74" s="19" t="str">
        <f t="shared" ca="1" si="23"/>
        <v/>
      </c>
      <c r="Z74" s="19" t="str">
        <f>IF(_xlfn.NUMBERVALUE($V74)&gt;0,SUMIFS($X$4:$X74,$W$4:$W74,$W74),"")</f>
        <v/>
      </c>
      <c r="AA74" s="19" t="str">
        <f>IF(_xlfn.NUMBERVALUE($V74)&gt;0,SUMIFS($X$4:$X74,$W$4:$W74,$W74)/COUNTIFS($W$4:$W74,$W74,$Y$4:$Y74,"Score"),"")</f>
        <v/>
      </c>
      <c r="AB74" s="19" t="str">
        <f t="shared" si="24"/>
        <v/>
      </c>
      <c r="AC74" s="20"/>
      <c r="AD74" s="13" t="s">
        <v>18</v>
      </c>
      <c r="AE74" s="13" t="s">
        <v>19</v>
      </c>
      <c r="AF74" s="13" t="s">
        <v>20</v>
      </c>
      <c r="AG74" s="13" t="s">
        <v>18</v>
      </c>
      <c r="AH74" s="13">
        <f ca="1">COUNTIFS($X$4:$X74,$X74)</f>
        <v>71</v>
      </c>
    </row>
    <row r="75" spans="21:34" x14ac:dyDescent="0.3">
      <c r="U75" s="55" t="str">
        <f t="shared" ca="1" si="19"/>
        <v/>
      </c>
      <c r="V75" s="17" t="str">
        <f t="shared" si="20"/>
        <v/>
      </c>
      <c r="W75" s="17" t="str">
        <f t="shared" ca="1" si="21"/>
        <v/>
      </c>
      <c r="X75" s="19" t="str">
        <f t="shared" ca="1" si="22"/>
        <v/>
      </c>
      <c r="Y75" s="19" t="str">
        <f t="shared" ca="1" si="23"/>
        <v/>
      </c>
      <c r="Z75" s="19" t="str">
        <f>IF(_xlfn.NUMBERVALUE($V75)&gt;0,SUMIFS($X$4:$X75,$W$4:$W75,$W75),"")</f>
        <v/>
      </c>
      <c r="AA75" s="19" t="str">
        <f>IF(_xlfn.NUMBERVALUE($V75)&gt;0,SUMIFS($X$4:$X75,$W$4:$W75,$W75)/COUNTIFS($W$4:$W75,$W75,$Y$4:$Y75,"Score"),"")</f>
        <v/>
      </c>
      <c r="AB75" s="19" t="str">
        <f t="shared" si="24"/>
        <v/>
      </c>
      <c r="AC75" s="20"/>
      <c r="AD75" s="13" t="s">
        <v>19</v>
      </c>
      <c r="AE75" s="13" t="s">
        <v>20</v>
      </c>
      <c r="AF75" s="13" t="s">
        <v>21</v>
      </c>
      <c r="AG75" s="13" t="s">
        <v>19</v>
      </c>
      <c r="AH75" s="13">
        <f ca="1">COUNTIFS($X$4:$X75,$X75)</f>
        <v>72</v>
      </c>
    </row>
    <row r="76" spans="21:34" x14ac:dyDescent="0.3">
      <c r="U76" s="55" t="str">
        <f t="shared" ca="1" si="19"/>
        <v/>
      </c>
      <c r="V76" s="17" t="str">
        <f t="shared" si="20"/>
        <v/>
      </c>
      <c r="W76" s="17" t="str">
        <f t="shared" ca="1" si="21"/>
        <v/>
      </c>
      <c r="X76" s="19" t="str">
        <f t="shared" ca="1" si="22"/>
        <v/>
      </c>
      <c r="Y76" s="19" t="str">
        <f t="shared" ca="1" si="23"/>
        <v/>
      </c>
      <c r="Z76" s="19" t="str">
        <f>IF(_xlfn.NUMBERVALUE($V76)&gt;0,SUMIFS($X$4:$X76,$W$4:$W76,$W76),"")</f>
        <v/>
      </c>
      <c r="AA76" s="19" t="str">
        <f>IF(_xlfn.NUMBERVALUE($V76)&gt;0,SUMIFS($X$4:$X76,$W$4:$W76,$W76)/COUNTIFS($W$4:$W76,$W76,$Y$4:$Y76,"Score"),"")</f>
        <v/>
      </c>
      <c r="AB76" s="19" t="str">
        <f t="shared" si="24"/>
        <v/>
      </c>
      <c r="AC76" s="20"/>
      <c r="AD76" s="13" t="s">
        <v>18</v>
      </c>
      <c r="AE76" s="13" t="s">
        <v>18</v>
      </c>
      <c r="AF76" s="13" t="s">
        <v>18</v>
      </c>
      <c r="AG76" s="13" t="s">
        <v>20</v>
      </c>
      <c r="AH76" s="13">
        <f ca="1">COUNTIFS($X$4:$X76,$X76)</f>
        <v>73</v>
      </c>
    </row>
    <row r="77" spans="21:34" x14ac:dyDescent="0.3">
      <c r="U77" s="55" t="str">
        <f t="shared" ca="1" si="19"/>
        <v/>
      </c>
      <c r="V77" s="17" t="str">
        <f t="shared" si="20"/>
        <v/>
      </c>
      <c r="W77" s="17" t="str">
        <f t="shared" ca="1" si="21"/>
        <v/>
      </c>
      <c r="X77" s="19" t="str">
        <f t="shared" ca="1" si="22"/>
        <v/>
      </c>
      <c r="Y77" s="19" t="str">
        <f t="shared" ca="1" si="23"/>
        <v/>
      </c>
      <c r="Z77" s="19" t="str">
        <f>IF(_xlfn.NUMBERVALUE($V77)&gt;0,SUMIFS($X$4:$X77,$W$4:$W77,$W77),"")</f>
        <v/>
      </c>
      <c r="AA77" s="19" t="str">
        <f>IF(_xlfn.NUMBERVALUE($V77)&gt;0,SUMIFS($X$4:$X77,$W$4:$W77,$W77)/COUNTIFS($W$4:$W77,$W77,$Y$4:$Y77,"Score"),"")</f>
        <v/>
      </c>
      <c r="AB77" s="19" t="str">
        <f t="shared" si="24"/>
        <v/>
      </c>
      <c r="AC77" s="20"/>
      <c r="AD77" s="13" t="s">
        <v>19</v>
      </c>
      <c r="AE77" s="13" t="s">
        <v>19</v>
      </c>
      <c r="AF77" s="13" t="s">
        <v>19</v>
      </c>
      <c r="AG77" s="13" t="s">
        <v>21</v>
      </c>
      <c r="AH77" s="13">
        <f ca="1">COUNTIFS($X$4:$X77,$X77)</f>
        <v>74</v>
      </c>
    </row>
    <row r="78" spans="21:34" x14ac:dyDescent="0.3">
      <c r="U78" s="55" t="str">
        <f t="shared" ca="1" si="19"/>
        <v/>
      </c>
      <c r="V78" s="17" t="str">
        <f t="shared" si="20"/>
        <v/>
      </c>
      <c r="W78" s="17" t="str">
        <f t="shared" ca="1" si="21"/>
        <v/>
      </c>
      <c r="X78" s="19" t="str">
        <f t="shared" ca="1" si="22"/>
        <v/>
      </c>
      <c r="Y78" s="19" t="str">
        <f t="shared" ca="1" si="23"/>
        <v/>
      </c>
      <c r="Z78" s="19" t="str">
        <f>IF(_xlfn.NUMBERVALUE($V78)&gt;0,SUMIFS($X$4:$X78,$W$4:$W78,$W78),"")</f>
        <v/>
      </c>
      <c r="AA78" s="19" t="str">
        <f>IF(_xlfn.NUMBERVALUE($V78)&gt;0,SUMIFS($X$4:$X78,$W$4:$W78,$W78)/COUNTIFS($W$4:$W78,$W78,$Y$4:$Y78,"Score"),"")</f>
        <v/>
      </c>
      <c r="AB78" s="19" t="str">
        <f t="shared" si="24"/>
        <v/>
      </c>
      <c r="AC78" s="20"/>
      <c r="AD78" s="13" t="s">
        <v>18</v>
      </c>
      <c r="AE78" s="13" t="s">
        <v>20</v>
      </c>
      <c r="AF78" s="13" t="s">
        <v>20</v>
      </c>
      <c r="AG78" s="13" t="s">
        <v>22</v>
      </c>
      <c r="AH78" s="13">
        <f ca="1">COUNTIFS($X$4:$X78,$X78)</f>
        <v>75</v>
      </c>
    </row>
    <row r="79" spans="21:34" x14ac:dyDescent="0.3">
      <c r="U79" s="55" t="str">
        <f t="shared" ca="1" si="19"/>
        <v/>
      </c>
      <c r="V79" s="17" t="str">
        <f t="shared" si="20"/>
        <v/>
      </c>
      <c r="W79" s="17" t="str">
        <f t="shared" ca="1" si="21"/>
        <v/>
      </c>
      <c r="X79" s="19" t="str">
        <f t="shared" ca="1" si="22"/>
        <v/>
      </c>
      <c r="Y79" s="19" t="str">
        <f t="shared" ca="1" si="23"/>
        <v/>
      </c>
      <c r="Z79" s="19" t="str">
        <f>IF(_xlfn.NUMBERVALUE($V79)&gt;0,SUMIFS($X$4:$X79,$W$4:$W79,$W79),"")</f>
        <v/>
      </c>
      <c r="AA79" s="19" t="str">
        <f>IF(_xlfn.NUMBERVALUE($V79)&gt;0,SUMIFS($X$4:$X79,$W$4:$W79,$W79)/COUNTIFS($W$4:$W79,$W79,$Y$4:$Y79,"Score"),"")</f>
        <v/>
      </c>
      <c r="AB79" s="19" t="str">
        <f t="shared" si="24"/>
        <v/>
      </c>
      <c r="AC79" s="20"/>
      <c r="AD79" s="13" t="s">
        <v>19</v>
      </c>
      <c r="AE79" s="13" t="s">
        <v>18</v>
      </c>
      <c r="AF79" s="13" t="s">
        <v>21</v>
      </c>
      <c r="AG79" s="13" t="s">
        <v>18</v>
      </c>
      <c r="AH79" s="13">
        <f ca="1">COUNTIFS($X$4:$X79,$X79)</f>
        <v>76</v>
      </c>
    </row>
    <row r="80" spans="21:34" x14ac:dyDescent="0.3">
      <c r="U80" s="55" t="str">
        <f t="shared" ca="1" si="19"/>
        <v/>
      </c>
      <c r="V80" s="17" t="str">
        <f t="shared" si="20"/>
        <v/>
      </c>
      <c r="W80" s="17" t="str">
        <f t="shared" ca="1" si="21"/>
        <v/>
      </c>
      <c r="X80" s="19" t="str">
        <f t="shared" ca="1" si="22"/>
        <v/>
      </c>
      <c r="Y80" s="19" t="str">
        <f t="shared" ca="1" si="23"/>
        <v/>
      </c>
      <c r="Z80" s="19" t="str">
        <f>IF(_xlfn.NUMBERVALUE($V80)&gt;0,SUMIFS($X$4:$X80,$W$4:$W80,$W80),"")</f>
        <v/>
      </c>
      <c r="AA80" s="19" t="str">
        <f>IF(_xlfn.NUMBERVALUE($V80)&gt;0,SUMIFS($X$4:$X80,$W$4:$W80,$W80)/COUNTIFS($W$4:$W80,$W80,$Y$4:$Y80,"Score"),"")</f>
        <v/>
      </c>
      <c r="AB80" s="19" t="str">
        <f t="shared" si="24"/>
        <v/>
      </c>
      <c r="AC80" s="20"/>
      <c r="AD80" s="13" t="s">
        <v>18</v>
      </c>
      <c r="AE80" s="13" t="s">
        <v>19</v>
      </c>
      <c r="AF80" s="13" t="s">
        <v>18</v>
      </c>
      <c r="AG80" s="13" t="s">
        <v>19</v>
      </c>
      <c r="AH80" s="13">
        <f ca="1">COUNTIFS($X$4:$X80,$X80)</f>
        <v>77</v>
      </c>
    </row>
    <row r="81" spans="21:34" x14ac:dyDescent="0.3">
      <c r="U81" s="55" t="str">
        <f t="shared" ca="1" si="19"/>
        <v/>
      </c>
      <c r="V81" s="17" t="str">
        <f t="shared" si="20"/>
        <v/>
      </c>
      <c r="W81" s="17" t="str">
        <f t="shared" ca="1" si="21"/>
        <v/>
      </c>
      <c r="X81" s="19" t="str">
        <f t="shared" ca="1" si="22"/>
        <v/>
      </c>
      <c r="Y81" s="19" t="str">
        <f t="shared" ca="1" si="23"/>
        <v/>
      </c>
      <c r="Z81" s="19" t="str">
        <f>IF(_xlfn.NUMBERVALUE($V81)&gt;0,SUMIFS($X$4:$X81,$W$4:$W81,$W81),"")</f>
        <v/>
      </c>
      <c r="AA81" s="19" t="str">
        <f>IF(_xlfn.NUMBERVALUE($V81)&gt;0,SUMIFS($X$4:$X81,$W$4:$W81,$W81)/COUNTIFS($W$4:$W81,$W81,$Y$4:$Y81,"Score"),"")</f>
        <v/>
      </c>
      <c r="AB81" s="19" t="str">
        <f t="shared" si="24"/>
        <v/>
      </c>
      <c r="AC81" s="20"/>
      <c r="AD81" s="13" t="s">
        <v>19</v>
      </c>
      <c r="AE81" s="13" t="s">
        <v>20</v>
      </c>
      <c r="AF81" s="13" t="s">
        <v>19</v>
      </c>
      <c r="AG81" s="13" t="s">
        <v>20</v>
      </c>
      <c r="AH81" s="13">
        <f ca="1">COUNTIFS($X$4:$X81,$X81)</f>
        <v>78</v>
      </c>
    </row>
    <row r="82" spans="21:34" x14ac:dyDescent="0.3">
      <c r="U82" s="55" t="str">
        <f t="shared" ca="1" si="19"/>
        <v/>
      </c>
      <c r="V82" s="17" t="str">
        <f t="shared" si="20"/>
        <v/>
      </c>
      <c r="W82" s="17" t="str">
        <f t="shared" ca="1" si="21"/>
        <v/>
      </c>
      <c r="X82" s="19" t="str">
        <f t="shared" ca="1" si="22"/>
        <v/>
      </c>
      <c r="Y82" s="19" t="str">
        <f t="shared" ca="1" si="23"/>
        <v/>
      </c>
      <c r="Z82" s="19" t="str">
        <f>IF(_xlfn.NUMBERVALUE($V82)&gt;0,SUMIFS($X$4:$X82,$W$4:$W82,$W82),"")</f>
        <v/>
      </c>
      <c r="AA82" s="19" t="str">
        <f>IF(_xlfn.NUMBERVALUE($V82)&gt;0,SUMIFS($X$4:$X82,$W$4:$W82,$W82)/COUNTIFS($W$4:$W82,$W82,$Y$4:$Y82,"Score"),"")</f>
        <v/>
      </c>
      <c r="AB82" s="19" t="str">
        <f t="shared" si="24"/>
        <v/>
      </c>
      <c r="AC82" s="20"/>
      <c r="AD82" s="13" t="s">
        <v>18</v>
      </c>
      <c r="AE82" s="13" t="s">
        <v>18</v>
      </c>
      <c r="AF82" s="13" t="s">
        <v>20</v>
      </c>
      <c r="AG82" s="13" t="s">
        <v>21</v>
      </c>
      <c r="AH82" s="13">
        <f ca="1">COUNTIFS($X$4:$X82,$X82)</f>
        <v>79</v>
      </c>
    </row>
    <row r="83" spans="21:34" x14ac:dyDescent="0.3">
      <c r="U83" s="55" t="str">
        <f t="shared" ca="1" si="19"/>
        <v/>
      </c>
      <c r="V83" s="17" t="str">
        <f t="shared" si="20"/>
        <v/>
      </c>
      <c r="W83" s="17" t="str">
        <f t="shared" ca="1" si="21"/>
        <v/>
      </c>
      <c r="X83" s="19" t="str">
        <f t="shared" ca="1" si="22"/>
        <v/>
      </c>
      <c r="Y83" s="19" t="str">
        <f t="shared" ca="1" si="23"/>
        <v/>
      </c>
      <c r="Z83" s="19" t="str">
        <f>IF(_xlfn.NUMBERVALUE($V83)&gt;0,SUMIFS($X$4:$X83,$W$4:$W83,$W83),"")</f>
        <v/>
      </c>
      <c r="AA83" s="19" t="str">
        <f>IF(_xlfn.NUMBERVALUE($V83)&gt;0,SUMIFS($X$4:$X83,$W$4:$W83,$W83)/COUNTIFS($W$4:$W83,$W83,$Y$4:$Y83,"Score"),"")</f>
        <v/>
      </c>
      <c r="AB83" s="19" t="str">
        <f t="shared" si="24"/>
        <v/>
      </c>
      <c r="AC83" s="20"/>
      <c r="AD83" s="13" t="s">
        <v>19</v>
      </c>
      <c r="AE83" s="13" t="s">
        <v>19</v>
      </c>
      <c r="AF83" s="13" t="s">
        <v>21</v>
      </c>
      <c r="AG83" s="13" t="s">
        <v>22</v>
      </c>
      <c r="AH83" s="13">
        <f ca="1">COUNTIFS($X$4:$X83,$X83)</f>
        <v>80</v>
      </c>
    </row>
    <row r="84" spans="21:34" x14ac:dyDescent="0.3">
      <c r="U84" s="55" t="str">
        <f t="shared" ca="1" si="19"/>
        <v/>
      </c>
      <c r="V84" s="17" t="str">
        <f t="shared" si="20"/>
        <v/>
      </c>
      <c r="W84" s="17" t="str">
        <f t="shared" ca="1" si="21"/>
        <v/>
      </c>
      <c r="X84" s="19" t="str">
        <f t="shared" ca="1" si="22"/>
        <v/>
      </c>
      <c r="Y84" s="19" t="str">
        <f t="shared" ca="1" si="23"/>
        <v/>
      </c>
      <c r="Z84" s="19" t="str">
        <f>IF(_xlfn.NUMBERVALUE($V84)&gt;0,SUMIFS($X$4:$X84,$W$4:$W84,$W84),"")</f>
        <v/>
      </c>
      <c r="AA84" s="19" t="str">
        <f>IF(_xlfn.NUMBERVALUE($V84)&gt;0,SUMIFS($X$4:$X84,$W$4:$W84,$W84)/COUNTIFS($W$4:$W84,$W84,$Y$4:$Y84,"Score"),"")</f>
        <v/>
      </c>
      <c r="AB84" s="19" t="str">
        <f t="shared" si="24"/>
        <v/>
      </c>
      <c r="AC84" s="20"/>
      <c r="AD84" s="13" t="s">
        <v>18</v>
      </c>
      <c r="AE84" s="13" t="s">
        <v>20</v>
      </c>
      <c r="AF84" s="13" t="s">
        <v>18</v>
      </c>
      <c r="AG84" s="13" t="s">
        <v>18</v>
      </c>
      <c r="AH84" s="13">
        <f ca="1">COUNTIFS($X$4:$X84,$X84)</f>
        <v>81</v>
      </c>
    </row>
    <row r="85" spans="21:34" x14ac:dyDescent="0.3">
      <c r="U85" s="55" t="str">
        <f t="shared" ca="1" si="19"/>
        <v/>
      </c>
      <c r="V85" s="17" t="str">
        <f t="shared" si="20"/>
        <v/>
      </c>
      <c r="W85" s="17" t="str">
        <f t="shared" ca="1" si="21"/>
        <v/>
      </c>
      <c r="X85" s="19" t="str">
        <f t="shared" ca="1" si="22"/>
        <v/>
      </c>
      <c r="Y85" s="19" t="str">
        <f t="shared" ca="1" si="23"/>
        <v/>
      </c>
      <c r="Z85" s="19" t="str">
        <f>IF(_xlfn.NUMBERVALUE($V85)&gt;0,SUMIFS($X$4:$X85,$W$4:$W85,$W85),"")</f>
        <v/>
      </c>
      <c r="AA85" s="19" t="str">
        <f>IF(_xlfn.NUMBERVALUE($V85)&gt;0,SUMIFS($X$4:$X85,$W$4:$W85,$W85)/COUNTIFS($W$4:$W85,$W85,$Y$4:$Y85,"Score"),"")</f>
        <v/>
      </c>
      <c r="AB85" s="19" t="str">
        <f t="shared" si="24"/>
        <v/>
      </c>
      <c r="AC85" s="20"/>
      <c r="AD85" s="13" t="s">
        <v>19</v>
      </c>
      <c r="AE85" s="13" t="s">
        <v>18</v>
      </c>
      <c r="AF85" s="13" t="s">
        <v>19</v>
      </c>
      <c r="AG85" s="13" t="s">
        <v>19</v>
      </c>
      <c r="AH85" s="13">
        <f ca="1">COUNTIFS($X$4:$X85,$X85)</f>
        <v>82</v>
      </c>
    </row>
    <row r="86" spans="21:34" x14ac:dyDescent="0.3">
      <c r="U86" s="55" t="str">
        <f t="shared" ca="1" si="19"/>
        <v/>
      </c>
      <c r="V86" s="17" t="str">
        <f t="shared" si="20"/>
        <v/>
      </c>
      <c r="W86" s="17" t="str">
        <f t="shared" ca="1" si="21"/>
        <v/>
      </c>
      <c r="X86" s="19" t="str">
        <f t="shared" ca="1" si="22"/>
        <v/>
      </c>
      <c r="Y86" s="19" t="str">
        <f t="shared" ca="1" si="23"/>
        <v/>
      </c>
      <c r="Z86" s="19" t="str">
        <f>IF(_xlfn.NUMBERVALUE($V86)&gt;0,SUMIFS($X$4:$X86,$W$4:$W86,$W86),"")</f>
        <v/>
      </c>
      <c r="AA86" s="19" t="str">
        <f>IF(_xlfn.NUMBERVALUE($V86)&gt;0,SUMIFS($X$4:$X86,$W$4:$W86,$W86)/COUNTIFS($W$4:$W86,$W86,$Y$4:$Y86,"Score"),"")</f>
        <v/>
      </c>
      <c r="AB86" s="19" t="str">
        <f t="shared" si="24"/>
        <v/>
      </c>
      <c r="AC86" s="20"/>
      <c r="AD86" s="13" t="s">
        <v>18</v>
      </c>
      <c r="AE86" s="13" t="s">
        <v>19</v>
      </c>
      <c r="AF86" s="13" t="s">
        <v>20</v>
      </c>
      <c r="AG86" s="13" t="s">
        <v>20</v>
      </c>
      <c r="AH86" s="13">
        <f ca="1">COUNTIFS($X$4:$X86,$X86)</f>
        <v>83</v>
      </c>
    </row>
    <row r="87" spans="21:34" x14ac:dyDescent="0.3">
      <c r="U87" s="55" t="str">
        <f t="shared" ca="1" si="19"/>
        <v/>
      </c>
      <c r="V87" s="17" t="str">
        <f t="shared" si="20"/>
        <v/>
      </c>
      <c r="W87" s="17" t="str">
        <f t="shared" ca="1" si="21"/>
        <v/>
      </c>
      <c r="X87" s="19" t="str">
        <f t="shared" ca="1" si="22"/>
        <v/>
      </c>
      <c r="Y87" s="19" t="str">
        <f t="shared" ca="1" si="23"/>
        <v/>
      </c>
      <c r="Z87" s="19" t="str">
        <f>IF(_xlfn.NUMBERVALUE($V87)&gt;0,SUMIFS($X$4:$X87,$W$4:$W87,$W87),"")</f>
        <v/>
      </c>
      <c r="AA87" s="19" t="str">
        <f>IF(_xlfn.NUMBERVALUE($V87)&gt;0,SUMIFS($X$4:$X87,$W$4:$W87,$W87)/COUNTIFS($W$4:$W87,$W87,$Y$4:$Y87,"Score"),"")</f>
        <v/>
      </c>
      <c r="AB87" s="19" t="str">
        <f t="shared" si="24"/>
        <v/>
      </c>
      <c r="AC87" s="20"/>
      <c r="AD87" s="13" t="s">
        <v>19</v>
      </c>
      <c r="AE87" s="13" t="s">
        <v>20</v>
      </c>
      <c r="AF87" s="13" t="s">
        <v>21</v>
      </c>
      <c r="AG87" s="13" t="s">
        <v>21</v>
      </c>
      <c r="AH87" s="13">
        <f ca="1">COUNTIFS($X$4:$X87,$X87)</f>
        <v>84</v>
      </c>
    </row>
    <row r="88" spans="21:34" x14ac:dyDescent="0.3">
      <c r="U88" s="55" t="str">
        <f t="shared" ca="1" si="19"/>
        <v/>
      </c>
      <c r="V88" s="17" t="str">
        <f t="shared" si="20"/>
        <v/>
      </c>
      <c r="W88" s="17" t="str">
        <f t="shared" ca="1" si="21"/>
        <v/>
      </c>
      <c r="X88" s="19" t="str">
        <f t="shared" ca="1" si="22"/>
        <v/>
      </c>
      <c r="Y88" s="19" t="str">
        <f t="shared" ca="1" si="23"/>
        <v/>
      </c>
      <c r="Z88" s="19" t="str">
        <f>IF(_xlfn.NUMBERVALUE($V88)&gt;0,SUMIFS($X$4:$X88,$W$4:$W88,$W88),"")</f>
        <v/>
      </c>
      <c r="AA88" s="19" t="str">
        <f>IF(_xlfn.NUMBERVALUE($V88)&gt;0,SUMIFS($X$4:$X88,$W$4:$W88,$W88)/COUNTIFS($W$4:$W88,$W88,$Y$4:$Y88,"Score"),"")</f>
        <v/>
      </c>
      <c r="AB88" s="19" t="str">
        <f t="shared" si="24"/>
        <v/>
      </c>
      <c r="AC88" s="20"/>
      <c r="AD88" s="13" t="s">
        <v>18</v>
      </c>
      <c r="AE88" s="13" t="s">
        <v>18</v>
      </c>
      <c r="AF88" s="13" t="s">
        <v>18</v>
      </c>
      <c r="AG88" s="13" t="s">
        <v>22</v>
      </c>
      <c r="AH88" s="13">
        <f ca="1">COUNTIFS($X$4:$X88,$X88)</f>
        <v>85</v>
      </c>
    </row>
    <row r="89" spans="21:34" x14ac:dyDescent="0.3">
      <c r="U89" s="55" t="str">
        <f t="shared" ca="1" si="19"/>
        <v/>
      </c>
      <c r="V89" s="17" t="str">
        <f t="shared" si="20"/>
        <v/>
      </c>
      <c r="W89" s="17" t="str">
        <f t="shared" ca="1" si="21"/>
        <v/>
      </c>
      <c r="X89" s="19" t="str">
        <f t="shared" ca="1" si="22"/>
        <v/>
      </c>
      <c r="Y89" s="19" t="str">
        <f t="shared" ca="1" si="23"/>
        <v/>
      </c>
      <c r="Z89" s="19" t="str">
        <f>IF(_xlfn.NUMBERVALUE($V89)&gt;0,SUMIFS($X$4:$X89,$W$4:$W89,$W89),"")</f>
        <v/>
      </c>
      <c r="AA89" s="19" t="str">
        <f>IF(_xlfn.NUMBERVALUE($V89)&gt;0,SUMIFS($X$4:$X89,$W$4:$W89,$W89)/COUNTIFS($W$4:$W89,$W89,$Y$4:$Y89,"Score"),"")</f>
        <v/>
      </c>
      <c r="AB89" s="19" t="str">
        <f t="shared" si="24"/>
        <v/>
      </c>
      <c r="AC89" s="20"/>
      <c r="AD89" s="13" t="s">
        <v>19</v>
      </c>
      <c r="AE89" s="13" t="s">
        <v>19</v>
      </c>
      <c r="AF89" s="13" t="s">
        <v>19</v>
      </c>
      <c r="AG89" s="13" t="s">
        <v>18</v>
      </c>
      <c r="AH89" s="13">
        <f ca="1">COUNTIFS($X$4:$X89,$X89)</f>
        <v>86</v>
      </c>
    </row>
    <row r="90" spans="21:34" x14ac:dyDescent="0.3">
      <c r="U90" s="55" t="str">
        <f t="shared" ca="1" si="19"/>
        <v/>
      </c>
      <c r="V90" s="17" t="str">
        <f t="shared" si="20"/>
        <v/>
      </c>
      <c r="W90" s="17" t="str">
        <f t="shared" ca="1" si="21"/>
        <v/>
      </c>
      <c r="X90" s="19" t="str">
        <f t="shared" ca="1" si="22"/>
        <v/>
      </c>
      <c r="Y90" s="19" t="str">
        <f t="shared" ca="1" si="23"/>
        <v/>
      </c>
      <c r="Z90" s="19" t="str">
        <f>IF(_xlfn.NUMBERVALUE($V90)&gt;0,SUMIFS($X$4:$X90,$W$4:$W90,$W90),"")</f>
        <v/>
      </c>
      <c r="AA90" s="19" t="str">
        <f>IF(_xlfn.NUMBERVALUE($V90)&gt;0,SUMIFS($X$4:$X90,$W$4:$W90,$W90)/COUNTIFS($W$4:$W90,$W90,$Y$4:$Y90,"Score"),"")</f>
        <v/>
      </c>
      <c r="AB90" s="19" t="str">
        <f t="shared" si="24"/>
        <v/>
      </c>
      <c r="AC90" s="20"/>
      <c r="AD90" s="13" t="s">
        <v>18</v>
      </c>
      <c r="AE90" s="13" t="s">
        <v>20</v>
      </c>
      <c r="AF90" s="13" t="s">
        <v>20</v>
      </c>
      <c r="AG90" s="13" t="s">
        <v>19</v>
      </c>
      <c r="AH90" s="13">
        <f ca="1">COUNTIFS($X$4:$X90,$X90)</f>
        <v>87</v>
      </c>
    </row>
    <row r="91" spans="21:34" x14ac:dyDescent="0.3">
      <c r="U91" s="55" t="str">
        <f t="shared" ca="1" si="19"/>
        <v/>
      </c>
      <c r="V91" s="17" t="str">
        <f t="shared" si="20"/>
        <v/>
      </c>
      <c r="W91" s="17" t="str">
        <f t="shared" ca="1" si="21"/>
        <v/>
      </c>
      <c r="X91" s="19" t="str">
        <f t="shared" ca="1" si="22"/>
        <v/>
      </c>
      <c r="Y91" s="19" t="str">
        <f t="shared" ca="1" si="23"/>
        <v/>
      </c>
      <c r="Z91" s="19" t="str">
        <f>IF(_xlfn.NUMBERVALUE($V91)&gt;0,SUMIFS($X$4:$X91,$W$4:$W91,$W91),"")</f>
        <v/>
      </c>
      <c r="AA91" s="19" t="str">
        <f>IF(_xlfn.NUMBERVALUE($V91)&gt;0,SUMIFS($X$4:$X91,$W$4:$W91,$W91)/COUNTIFS($W$4:$W91,$W91,$Y$4:$Y91,"Score"),"")</f>
        <v/>
      </c>
      <c r="AB91" s="19" t="str">
        <f t="shared" si="24"/>
        <v/>
      </c>
      <c r="AC91" s="20"/>
      <c r="AD91" s="13" t="s">
        <v>19</v>
      </c>
      <c r="AE91" s="13" t="s">
        <v>18</v>
      </c>
      <c r="AF91" s="13" t="s">
        <v>21</v>
      </c>
      <c r="AG91" s="13" t="s">
        <v>20</v>
      </c>
      <c r="AH91" s="13">
        <f ca="1">COUNTIFS($X$4:$X91,$X91)</f>
        <v>88</v>
      </c>
    </row>
    <row r="92" spans="21:34" x14ac:dyDescent="0.3">
      <c r="U92" s="55" t="str">
        <f t="shared" ca="1" si="19"/>
        <v/>
      </c>
      <c r="V92" s="17" t="str">
        <f t="shared" si="20"/>
        <v/>
      </c>
      <c r="W92" s="17" t="str">
        <f t="shared" ca="1" si="21"/>
        <v/>
      </c>
      <c r="X92" s="19" t="str">
        <f t="shared" ca="1" si="22"/>
        <v/>
      </c>
      <c r="Y92" s="19" t="str">
        <f t="shared" ca="1" si="23"/>
        <v/>
      </c>
      <c r="Z92" s="19" t="str">
        <f>IF(_xlfn.NUMBERVALUE($V92)&gt;0,SUMIFS($X$4:$X92,$W$4:$W92,$W92),"")</f>
        <v/>
      </c>
      <c r="AA92" s="19" t="str">
        <f>IF(_xlfn.NUMBERVALUE($V92)&gt;0,SUMIFS($X$4:$X92,$W$4:$W92,$W92)/COUNTIFS($W$4:$W92,$W92,$Y$4:$Y92,"Score"),"")</f>
        <v/>
      </c>
      <c r="AB92" s="19" t="str">
        <f t="shared" si="24"/>
        <v/>
      </c>
      <c r="AC92" s="20"/>
      <c r="AD92" s="13" t="s">
        <v>18</v>
      </c>
      <c r="AE92" s="13" t="s">
        <v>19</v>
      </c>
      <c r="AF92" s="13" t="s">
        <v>18</v>
      </c>
      <c r="AG92" s="13" t="s">
        <v>21</v>
      </c>
      <c r="AH92" s="13">
        <f ca="1">COUNTIFS($X$4:$X92,$X92)</f>
        <v>89</v>
      </c>
    </row>
    <row r="93" spans="21:34" x14ac:dyDescent="0.3">
      <c r="U93" s="55" t="str">
        <f t="shared" ca="1" si="19"/>
        <v/>
      </c>
      <c r="V93" s="17" t="str">
        <f t="shared" si="20"/>
        <v/>
      </c>
      <c r="W93" s="17" t="str">
        <f t="shared" ca="1" si="21"/>
        <v/>
      </c>
      <c r="X93" s="19" t="str">
        <f t="shared" ca="1" si="22"/>
        <v/>
      </c>
      <c r="Y93" s="19" t="str">
        <f t="shared" ca="1" si="23"/>
        <v/>
      </c>
      <c r="Z93" s="19" t="str">
        <f>IF(_xlfn.NUMBERVALUE($V93)&gt;0,SUMIFS($X$4:$X93,$W$4:$W93,$W93),"")</f>
        <v/>
      </c>
      <c r="AA93" s="19" t="str">
        <f>IF(_xlfn.NUMBERVALUE($V93)&gt;0,SUMIFS($X$4:$X93,$W$4:$W93,$W93)/COUNTIFS($W$4:$W93,$W93,$Y$4:$Y93,"Score"),"")</f>
        <v/>
      </c>
      <c r="AB93" s="19" t="str">
        <f t="shared" si="24"/>
        <v/>
      </c>
      <c r="AC93" s="20"/>
      <c r="AD93" s="13" t="s">
        <v>19</v>
      </c>
      <c r="AE93" s="13" t="s">
        <v>20</v>
      </c>
      <c r="AF93" s="13" t="s">
        <v>19</v>
      </c>
      <c r="AG93" s="13" t="s">
        <v>22</v>
      </c>
      <c r="AH93" s="13">
        <f ca="1">COUNTIFS($X$4:$X93,$X93)</f>
        <v>90</v>
      </c>
    </row>
    <row r="94" spans="21:34" x14ac:dyDescent="0.3">
      <c r="U94" s="55" t="str">
        <f t="shared" ca="1" si="19"/>
        <v/>
      </c>
      <c r="V94" s="17" t="str">
        <f t="shared" si="20"/>
        <v/>
      </c>
      <c r="W94" s="17" t="str">
        <f t="shared" ca="1" si="21"/>
        <v/>
      </c>
      <c r="X94" s="19" t="str">
        <f t="shared" ca="1" si="22"/>
        <v/>
      </c>
      <c r="Y94" s="19" t="str">
        <f t="shared" ca="1" si="23"/>
        <v/>
      </c>
      <c r="Z94" s="19" t="str">
        <f>IF(_xlfn.NUMBERVALUE($V94)&gt;0,SUMIFS($X$4:$X94,$W$4:$W94,$W94),"")</f>
        <v/>
      </c>
      <c r="AA94" s="19" t="str">
        <f>IF(_xlfn.NUMBERVALUE($V94)&gt;0,SUMIFS($X$4:$X94,$W$4:$W94,$W94)/COUNTIFS($W$4:$W94,$W94,$Y$4:$Y94,"Score"),"")</f>
        <v/>
      </c>
      <c r="AB94" s="19" t="str">
        <f t="shared" si="24"/>
        <v/>
      </c>
      <c r="AC94" s="20"/>
      <c r="AD94" s="13" t="s">
        <v>18</v>
      </c>
      <c r="AE94" s="13" t="s">
        <v>18</v>
      </c>
      <c r="AF94" s="13" t="s">
        <v>20</v>
      </c>
      <c r="AG94" s="13" t="s">
        <v>18</v>
      </c>
      <c r="AH94" s="13">
        <f ca="1">COUNTIFS($X$4:$X94,$X94)</f>
        <v>91</v>
      </c>
    </row>
    <row r="95" spans="21:34" x14ac:dyDescent="0.3">
      <c r="U95" s="55" t="str">
        <f t="shared" ca="1" si="19"/>
        <v/>
      </c>
      <c r="V95" s="17" t="str">
        <f t="shared" si="20"/>
        <v/>
      </c>
      <c r="W95" s="17" t="str">
        <f t="shared" ca="1" si="21"/>
        <v/>
      </c>
      <c r="X95" s="19" t="str">
        <f t="shared" ca="1" si="22"/>
        <v/>
      </c>
      <c r="Y95" s="19" t="str">
        <f t="shared" ca="1" si="23"/>
        <v/>
      </c>
      <c r="Z95" s="19" t="str">
        <f>IF(_xlfn.NUMBERVALUE($V95)&gt;0,SUMIFS($X$4:$X95,$W$4:$W95,$W95),"")</f>
        <v/>
      </c>
      <c r="AA95" s="19" t="str">
        <f>IF(_xlfn.NUMBERVALUE($V95)&gt;0,SUMIFS($X$4:$X95,$W$4:$W95,$W95)/COUNTIFS($W$4:$W95,$W95,$Y$4:$Y95,"Score"),"")</f>
        <v/>
      </c>
      <c r="AB95" s="19" t="str">
        <f t="shared" si="24"/>
        <v/>
      </c>
      <c r="AC95" s="20"/>
      <c r="AD95" s="13" t="s">
        <v>19</v>
      </c>
      <c r="AE95" s="13" t="s">
        <v>19</v>
      </c>
      <c r="AF95" s="13" t="s">
        <v>21</v>
      </c>
      <c r="AG95" s="13" t="s">
        <v>19</v>
      </c>
      <c r="AH95" s="13">
        <f ca="1">COUNTIFS($X$4:$X95,$X95)</f>
        <v>92</v>
      </c>
    </row>
    <row r="96" spans="21:34" x14ac:dyDescent="0.3">
      <c r="U96" s="55" t="str">
        <f t="shared" ca="1" si="19"/>
        <v/>
      </c>
      <c r="V96" s="17" t="str">
        <f t="shared" si="20"/>
        <v/>
      </c>
      <c r="W96" s="17" t="str">
        <f t="shared" ca="1" si="21"/>
        <v/>
      </c>
      <c r="X96" s="19" t="str">
        <f t="shared" ca="1" si="22"/>
        <v/>
      </c>
      <c r="Y96" s="19" t="str">
        <f t="shared" ca="1" si="23"/>
        <v/>
      </c>
      <c r="Z96" s="19" t="str">
        <f>IF(_xlfn.NUMBERVALUE($V96)&gt;0,SUMIFS($X$4:$X96,$W$4:$W96,$W96),"")</f>
        <v/>
      </c>
      <c r="AA96" s="19" t="str">
        <f>IF(_xlfn.NUMBERVALUE($V96)&gt;0,SUMIFS($X$4:$X96,$W$4:$W96,$W96)/COUNTIFS($W$4:$W96,$W96,$Y$4:$Y96,"Score"),"")</f>
        <v/>
      </c>
      <c r="AB96" s="19" t="str">
        <f t="shared" si="24"/>
        <v/>
      </c>
      <c r="AC96" s="20"/>
      <c r="AD96" s="13" t="s">
        <v>18</v>
      </c>
      <c r="AE96" s="13" t="s">
        <v>20</v>
      </c>
      <c r="AF96" s="13" t="s">
        <v>18</v>
      </c>
      <c r="AG96" s="13" t="s">
        <v>20</v>
      </c>
      <c r="AH96" s="13">
        <f ca="1">COUNTIFS($X$4:$X96,$X96)</f>
        <v>93</v>
      </c>
    </row>
    <row r="97" spans="21:34" x14ac:dyDescent="0.3">
      <c r="U97" s="55" t="str">
        <f t="shared" ca="1" si="19"/>
        <v/>
      </c>
      <c r="V97" s="17" t="str">
        <f t="shared" si="20"/>
        <v/>
      </c>
      <c r="W97" s="17" t="str">
        <f t="shared" ca="1" si="21"/>
        <v/>
      </c>
      <c r="X97" s="19" t="str">
        <f t="shared" ca="1" si="22"/>
        <v/>
      </c>
      <c r="Y97" s="19" t="str">
        <f t="shared" ca="1" si="23"/>
        <v/>
      </c>
      <c r="Z97" s="19" t="str">
        <f>IF(_xlfn.NUMBERVALUE($V97)&gt;0,SUMIFS($X$4:$X97,$W$4:$W97,$W97),"")</f>
        <v/>
      </c>
      <c r="AA97" s="19" t="str">
        <f>IF(_xlfn.NUMBERVALUE($V97)&gt;0,SUMIFS($X$4:$X97,$W$4:$W97,$W97)/COUNTIFS($W$4:$W97,$W97,$Y$4:$Y97,"Score"),"")</f>
        <v/>
      </c>
      <c r="AB97" s="19" t="str">
        <f t="shared" si="24"/>
        <v/>
      </c>
      <c r="AC97" s="20"/>
      <c r="AD97" s="13" t="s">
        <v>19</v>
      </c>
      <c r="AE97" s="13" t="s">
        <v>18</v>
      </c>
      <c r="AF97" s="13" t="s">
        <v>19</v>
      </c>
      <c r="AG97" s="13" t="s">
        <v>21</v>
      </c>
      <c r="AH97" s="13">
        <f ca="1">COUNTIFS($X$4:$X97,$X97)</f>
        <v>94</v>
      </c>
    </row>
    <row r="98" spans="21:34" x14ac:dyDescent="0.3">
      <c r="U98" s="55" t="str">
        <f t="shared" ca="1" si="19"/>
        <v/>
      </c>
      <c r="V98" s="17" t="str">
        <f t="shared" si="20"/>
        <v/>
      </c>
      <c r="W98" s="17" t="str">
        <f t="shared" ca="1" si="21"/>
        <v/>
      </c>
      <c r="X98" s="19" t="str">
        <f t="shared" ca="1" si="22"/>
        <v/>
      </c>
      <c r="Y98" s="19" t="str">
        <f t="shared" ca="1" si="23"/>
        <v/>
      </c>
      <c r="Z98" s="19" t="str">
        <f>IF(_xlfn.NUMBERVALUE($V98)&gt;0,SUMIFS($X$4:$X98,$W$4:$W98,$W98),"")</f>
        <v/>
      </c>
      <c r="AA98" s="19" t="str">
        <f>IF(_xlfn.NUMBERVALUE($V98)&gt;0,SUMIFS($X$4:$X98,$W$4:$W98,$W98)/COUNTIFS($W$4:$W98,$W98,$Y$4:$Y98,"Score"),"")</f>
        <v/>
      </c>
      <c r="AB98" s="19" t="str">
        <f t="shared" si="24"/>
        <v/>
      </c>
      <c r="AC98" s="20"/>
      <c r="AD98" s="13" t="s">
        <v>18</v>
      </c>
      <c r="AE98" s="13" t="s">
        <v>19</v>
      </c>
      <c r="AF98" s="13" t="s">
        <v>20</v>
      </c>
      <c r="AG98" s="13" t="s">
        <v>22</v>
      </c>
      <c r="AH98" s="13">
        <f ca="1">COUNTIFS($X$4:$X98,$X98)</f>
        <v>95</v>
      </c>
    </row>
    <row r="99" spans="21:34" x14ac:dyDescent="0.3">
      <c r="U99" s="55" t="str">
        <f t="shared" ca="1" si="19"/>
        <v/>
      </c>
      <c r="V99" s="17" t="str">
        <f t="shared" si="20"/>
        <v/>
      </c>
      <c r="W99" s="17" t="str">
        <f t="shared" ca="1" si="21"/>
        <v/>
      </c>
      <c r="X99" s="19" t="str">
        <f t="shared" ca="1" si="22"/>
        <v/>
      </c>
      <c r="Y99" s="19" t="str">
        <f t="shared" ca="1" si="23"/>
        <v/>
      </c>
      <c r="Z99" s="19" t="str">
        <f>IF(_xlfn.NUMBERVALUE($V99)&gt;0,SUMIFS($X$4:$X99,$W$4:$W99,$W99),"")</f>
        <v/>
      </c>
      <c r="AA99" s="19" t="str">
        <f>IF(_xlfn.NUMBERVALUE($V99)&gt;0,SUMIFS($X$4:$X99,$W$4:$W99,$W99)/COUNTIFS($W$4:$W99,$W99,$Y$4:$Y99,"Score"),"")</f>
        <v/>
      </c>
      <c r="AB99" s="19" t="str">
        <f t="shared" si="24"/>
        <v/>
      </c>
      <c r="AC99" s="20"/>
      <c r="AD99" s="13" t="s">
        <v>19</v>
      </c>
      <c r="AE99" s="13" t="s">
        <v>20</v>
      </c>
      <c r="AF99" s="13" t="s">
        <v>21</v>
      </c>
      <c r="AG99" s="13" t="s">
        <v>18</v>
      </c>
      <c r="AH99" s="13">
        <f ca="1">COUNTIFS($X$4:$X99,$X99)</f>
        <v>96</v>
      </c>
    </row>
    <row r="100" spans="21:34" x14ac:dyDescent="0.3">
      <c r="U100" s="55" t="str">
        <f t="shared" ca="1" si="19"/>
        <v/>
      </c>
      <c r="V100" s="17" t="str">
        <f t="shared" si="20"/>
        <v/>
      </c>
      <c r="W100" s="17" t="str">
        <f t="shared" ca="1" si="21"/>
        <v/>
      </c>
      <c r="X100" s="19" t="str">
        <f t="shared" ca="1" si="22"/>
        <v/>
      </c>
      <c r="Y100" s="19" t="str">
        <f t="shared" ca="1" si="23"/>
        <v/>
      </c>
      <c r="Z100" s="19" t="str">
        <f>IF(_xlfn.NUMBERVALUE($V100)&gt;0,SUMIFS($X$4:$X100,$W$4:$W100,$W100),"")</f>
        <v/>
      </c>
      <c r="AA100" s="19" t="str">
        <f>IF(_xlfn.NUMBERVALUE($V100)&gt;0,SUMIFS($X$4:$X100,$W$4:$W100,$W100)/COUNTIFS($W$4:$W100,$W100,$Y$4:$Y100,"Score"),"")</f>
        <v/>
      </c>
      <c r="AB100" s="19" t="str">
        <f t="shared" si="24"/>
        <v/>
      </c>
      <c r="AC100" s="20"/>
      <c r="AD100" s="13" t="s">
        <v>18</v>
      </c>
      <c r="AE100" s="13" t="s">
        <v>18</v>
      </c>
      <c r="AF100" s="13" t="s">
        <v>18</v>
      </c>
      <c r="AG100" s="13" t="s">
        <v>19</v>
      </c>
      <c r="AH100" s="13">
        <f ca="1">COUNTIFS($X$4:$X100,$X100)</f>
        <v>97</v>
      </c>
    </row>
    <row r="101" spans="21:34" x14ac:dyDescent="0.3">
      <c r="U101" s="55" t="str">
        <f t="shared" ca="1" si="19"/>
        <v/>
      </c>
      <c r="V101" s="17" t="str">
        <f t="shared" si="20"/>
        <v/>
      </c>
      <c r="W101" s="17" t="str">
        <f t="shared" ca="1" si="21"/>
        <v/>
      </c>
      <c r="X101" s="19" t="str">
        <f t="shared" ca="1" si="22"/>
        <v/>
      </c>
      <c r="Y101" s="19" t="str">
        <f t="shared" ca="1" si="23"/>
        <v/>
      </c>
      <c r="Z101" s="19" t="str">
        <f>IF(_xlfn.NUMBERVALUE($V101)&gt;0,SUMIFS($X$4:$X101,$W$4:$W101,$W101),"")</f>
        <v/>
      </c>
      <c r="AA101" s="19" t="str">
        <f>IF(_xlfn.NUMBERVALUE($V101)&gt;0,SUMIFS($X$4:$X101,$W$4:$W101,$W101)/COUNTIFS($W$4:$W101,$W101,$Y$4:$Y101,"Score"),"")</f>
        <v/>
      </c>
      <c r="AB101" s="19" t="str">
        <f t="shared" si="24"/>
        <v/>
      </c>
      <c r="AC101" s="20"/>
      <c r="AD101" s="13" t="s">
        <v>19</v>
      </c>
      <c r="AE101" s="13" t="s">
        <v>19</v>
      </c>
      <c r="AF101" s="13" t="s">
        <v>19</v>
      </c>
      <c r="AG101" s="13" t="s">
        <v>20</v>
      </c>
      <c r="AH101" s="13">
        <f ca="1">COUNTIFS($X$4:$X101,$X101)</f>
        <v>98</v>
      </c>
    </row>
    <row r="102" spans="21:34" x14ac:dyDescent="0.3">
      <c r="U102" s="55" t="str">
        <f t="shared" ca="1" si="19"/>
        <v/>
      </c>
      <c r="V102" s="17" t="str">
        <f t="shared" si="20"/>
        <v/>
      </c>
      <c r="W102" s="17" t="str">
        <f t="shared" ca="1" si="21"/>
        <v/>
      </c>
      <c r="X102" s="19" t="str">
        <f t="shared" ca="1" si="22"/>
        <v/>
      </c>
      <c r="Y102" s="19" t="str">
        <f t="shared" ca="1" si="23"/>
        <v/>
      </c>
      <c r="Z102" s="19" t="str">
        <f>IF(_xlfn.NUMBERVALUE($V102)&gt;0,SUMIFS($X$4:$X102,$W$4:$W102,$W102),"")</f>
        <v/>
      </c>
      <c r="AA102" s="19" t="str">
        <f>IF(_xlfn.NUMBERVALUE($V102)&gt;0,SUMIFS($X$4:$X102,$W$4:$W102,$W102)/COUNTIFS($W$4:$W102,$W102,$Y$4:$Y102,"Score"),"")</f>
        <v/>
      </c>
      <c r="AB102" s="19" t="str">
        <f t="shared" si="24"/>
        <v/>
      </c>
      <c r="AC102" s="20"/>
      <c r="AD102" s="13" t="s">
        <v>18</v>
      </c>
      <c r="AE102" s="13" t="s">
        <v>20</v>
      </c>
      <c r="AF102" s="13" t="s">
        <v>20</v>
      </c>
      <c r="AG102" s="13" t="s">
        <v>21</v>
      </c>
      <c r="AH102" s="13">
        <f ca="1">COUNTIFS($X$4:$X102,$X102)</f>
        <v>99</v>
      </c>
    </row>
    <row r="103" spans="21:34" x14ac:dyDescent="0.3">
      <c r="U103" s="55" t="str">
        <f t="shared" ca="1" si="19"/>
        <v/>
      </c>
      <c r="V103" s="17" t="str">
        <f t="shared" si="20"/>
        <v/>
      </c>
      <c r="W103" s="17" t="str">
        <f t="shared" ca="1" si="21"/>
        <v/>
      </c>
      <c r="X103" s="19" t="str">
        <f t="shared" ca="1" si="22"/>
        <v/>
      </c>
      <c r="Y103" s="19" t="str">
        <f t="shared" ca="1" si="23"/>
        <v/>
      </c>
      <c r="Z103" s="19" t="str">
        <f>IF(_xlfn.NUMBERVALUE($V103)&gt;0,SUMIFS($X$4:$X103,$W$4:$W103,$W103),"")</f>
        <v/>
      </c>
      <c r="AA103" s="19" t="str">
        <f>IF(_xlfn.NUMBERVALUE($V103)&gt;0,SUMIFS($X$4:$X103,$W$4:$W103,$W103)/COUNTIFS($W$4:$W103,$W103,$Y$4:$Y103,"Score"),"")</f>
        <v/>
      </c>
      <c r="AB103" s="19" t="str">
        <f t="shared" si="24"/>
        <v/>
      </c>
      <c r="AC103" s="20"/>
      <c r="AD103" s="13" t="s">
        <v>19</v>
      </c>
      <c r="AE103" s="13" t="s">
        <v>18</v>
      </c>
      <c r="AF103" s="13" t="s">
        <v>21</v>
      </c>
      <c r="AG103" s="13" t="s">
        <v>22</v>
      </c>
      <c r="AH103" s="13">
        <f ca="1">COUNTIFS($X$4:$X103,$X103)</f>
        <v>100</v>
      </c>
    </row>
    <row r="104" spans="21:34" x14ac:dyDescent="0.3">
      <c r="U104" s="55" t="str">
        <f t="shared" ca="1" si="19"/>
        <v/>
      </c>
      <c r="V104" s="17" t="str">
        <f t="shared" si="20"/>
        <v/>
      </c>
      <c r="W104" s="17" t="str">
        <f t="shared" ca="1" si="21"/>
        <v/>
      </c>
      <c r="X104" s="19" t="str">
        <f t="shared" ca="1" si="22"/>
        <v/>
      </c>
      <c r="Y104" s="19" t="str">
        <f t="shared" ca="1" si="23"/>
        <v/>
      </c>
      <c r="Z104" s="19" t="str">
        <f>IF(_xlfn.NUMBERVALUE($V104)&gt;0,SUMIFS($X$4:$X104,$W$4:$W104,$W104),"")</f>
        <v/>
      </c>
      <c r="AA104" s="19" t="str">
        <f>IF(_xlfn.NUMBERVALUE($V104)&gt;0,SUMIFS($X$4:$X104,$W$4:$W104,$W104)/COUNTIFS($W$4:$W104,$W104,$Y$4:$Y104,"Score"),"")</f>
        <v/>
      </c>
      <c r="AB104" s="19" t="str">
        <f t="shared" si="24"/>
        <v/>
      </c>
      <c r="AC104" s="20"/>
      <c r="AD104" s="13" t="s">
        <v>18</v>
      </c>
      <c r="AE104" s="13" t="s">
        <v>19</v>
      </c>
      <c r="AF104" s="13" t="s">
        <v>18</v>
      </c>
      <c r="AG104" s="13" t="s">
        <v>18</v>
      </c>
      <c r="AH104" s="13">
        <f ca="1">COUNTIFS($X$4:$X104,$X104)</f>
        <v>101</v>
      </c>
    </row>
    <row r="105" spans="21:34" x14ac:dyDescent="0.3">
      <c r="U105" s="55" t="str">
        <f t="shared" ca="1" si="19"/>
        <v/>
      </c>
      <c r="V105" s="17" t="str">
        <f t="shared" si="20"/>
        <v/>
      </c>
      <c r="W105" s="17" t="str">
        <f t="shared" ca="1" si="21"/>
        <v/>
      </c>
      <c r="X105" s="19" t="str">
        <f t="shared" ca="1" si="22"/>
        <v/>
      </c>
      <c r="Y105" s="19" t="str">
        <f t="shared" ca="1" si="23"/>
        <v/>
      </c>
      <c r="Z105" s="19" t="str">
        <f>IF(_xlfn.NUMBERVALUE($V105)&gt;0,SUMIFS($X$4:$X105,$W$4:$W105,$W105),"")</f>
        <v/>
      </c>
      <c r="AA105" s="19" t="str">
        <f>IF(_xlfn.NUMBERVALUE($V105)&gt;0,SUMIFS($X$4:$X105,$W$4:$W105,$W105)/COUNTIFS($W$4:$W105,$W105,$Y$4:$Y105,"Score"),"")</f>
        <v/>
      </c>
      <c r="AB105" s="19" t="str">
        <f t="shared" si="24"/>
        <v/>
      </c>
      <c r="AC105" s="20"/>
      <c r="AD105" s="13" t="s">
        <v>19</v>
      </c>
      <c r="AE105" s="13" t="s">
        <v>20</v>
      </c>
      <c r="AF105" s="13" t="s">
        <v>19</v>
      </c>
      <c r="AG105" s="13" t="s">
        <v>19</v>
      </c>
      <c r="AH105" s="13">
        <f ca="1">COUNTIFS($X$4:$X105,$X105)</f>
        <v>102</v>
      </c>
    </row>
    <row r="106" spans="21:34" x14ac:dyDescent="0.3">
      <c r="U106" s="55" t="str">
        <f t="shared" ca="1" si="19"/>
        <v/>
      </c>
      <c r="V106" s="17" t="str">
        <f t="shared" si="20"/>
        <v/>
      </c>
      <c r="W106" s="17" t="str">
        <f t="shared" ca="1" si="21"/>
        <v/>
      </c>
      <c r="X106" s="19" t="str">
        <f t="shared" ca="1" si="22"/>
        <v/>
      </c>
      <c r="Y106" s="19" t="str">
        <f t="shared" ca="1" si="23"/>
        <v/>
      </c>
      <c r="Z106" s="19" t="str">
        <f>IF(_xlfn.NUMBERVALUE($V106)&gt;0,SUMIFS($X$4:$X106,$W$4:$W106,$W106),"")</f>
        <v/>
      </c>
      <c r="AA106" s="19" t="str">
        <f>IF(_xlfn.NUMBERVALUE($V106)&gt;0,SUMIFS($X$4:$X106,$W$4:$W106,$W106)/COUNTIFS($W$4:$W106,$W106,$Y$4:$Y106,"Score"),"")</f>
        <v/>
      </c>
      <c r="AB106" s="19" t="str">
        <f t="shared" si="24"/>
        <v/>
      </c>
      <c r="AC106" s="20"/>
      <c r="AD106" s="13" t="s">
        <v>18</v>
      </c>
      <c r="AE106" s="13" t="s">
        <v>18</v>
      </c>
      <c r="AF106" s="13" t="s">
        <v>20</v>
      </c>
      <c r="AG106" s="13" t="s">
        <v>20</v>
      </c>
      <c r="AH106" s="13">
        <f ca="1">COUNTIFS($X$4:$X106,$X106)</f>
        <v>103</v>
      </c>
    </row>
    <row r="107" spans="21:34" x14ac:dyDescent="0.3">
      <c r="U107" s="55" t="str">
        <f t="shared" ca="1" si="19"/>
        <v/>
      </c>
      <c r="V107" s="17" t="str">
        <f t="shared" si="20"/>
        <v/>
      </c>
      <c r="W107" s="17" t="str">
        <f t="shared" ca="1" si="21"/>
        <v/>
      </c>
      <c r="X107" s="19" t="str">
        <f t="shared" ca="1" si="22"/>
        <v/>
      </c>
      <c r="Y107" s="19" t="str">
        <f t="shared" ca="1" si="23"/>
        <v/>
      </c>
      <c r="Z107" s="19" t="str">
        <f>IF(_xlfn.NUMBERVALUE($V107)&gt;0,SUMIFS($X$4:$X107,$W$4:$W107,$W107),"")</f>
        <v/>
      </c>
      <c r="AA107" s="19" t="str">
        <f>IF(_xlfn.NUMBERVALUE($V107)&gt;0,SUMIFS($X$4:$X107,$W$4:$W107,$W107)/COUNTIFS($W$4:$W107,$W107,$Y$4:$Y107,"Score"),"")</f>
        <v/>
      </c>
      <c r="AB107" s="19" t="str">
        <f t="shared" si="24"/>
        <v/>
      </c>
      <c r="AC107" s="20"/>
      <c r="AD107" s="13" t="s">
        <v>19</v>
      </c>
      <c r="AE107" s="13" t="s">
        <v>19</v>
      </c>
      <c r="AF107" s="13" t="s">
        <v>21</v>
      </c>
      <c r="AG107" s="13" t="s">
        <v>21</v>
      </c>
      <c r="AH107" s="13">
        <f ca="1">COUNTIFS($X$4:$X107,$X107)</f>
        <v>104</v>
      </c>
    </row>
    <row r="108" spans="21:34" x14ac:dyDescent="0.3">
      <c r="U108" s="55" t="str">
        <f t="shared" ca="1" si="19"/>
        <v/>
      </c>
      <c r="V108" s="17" t="str">
        <f t="shared" si="20"/>
        <v/>
      </c>
      <c r="W108" s="17" t="str">
        <f t="shared" ca="1" si="21"/>
        <v/>
      </c>
      <c r="X108" s="19" t="str">
        <f t="shared" ca="1" si="22"/>
        <v/>
      </c>
      <c r="Y108" s="19" t="str">
        <f t="shared" ca="1" si="23"/>
        <v/>
      </c>
      <c r="Z108" s="19" t="str">
        <f>IF(_xlfn.NUMBERVALUE($V108)&gt;0,SUMIFS($X$4:$X108,$W$4:$W108,$W108),"")</f>
        <v/>
      </c>
      <c r="AA108" s="19" t="str">
        <f>IF(_xlfn.NUMBERVALUE($V108)&gt;0,SUMIFS($X$4:$X108,$W$4:$W108,$W108)/COUNTIFS($W$4:$W108,$W108,$Y$4:$Y108,"Score"),"")</f>
        <v/>
      </c>
      <c r="AB108" s="19" t="str">
        <f t="shared" si="24"/>
        <v/>
      </c>
      <c r="AC108" s="20"/>
      <c r="AD108" s="13" t="s">
        <v>18</v>
      </c>
      <c r="AE108" s="13" t="s">
        <v>20</v>
      </c>
      <c r="AF108" s="13" t="s">
        <v>18</v>
      </c>
      <c r="AG108" s="13" t="s">
        <v>22</v>
      </c>
      <c r="AH108" s="13">
        <f ca="1">COUNTIFS($X$4:$X108,$X108)</f>
        <v>105</v>
      </c>
    </row>
    <row r="109" spans="21:34" x14ac:dyDescent="0.3">
      <c r="U109" s="55" t="str">
        <f t="shared" ca="1" si="19"/>
        <v/>
      </c>
      <c r="V109" s="17" t="str">
        <f t="shared" si="20"/>
        <v/>
      </c>
      <c r="W109" s="17" t="str">
        <f t="shared" ca="1" si="21"/>
        <v/>
      </c>
      <c r="X109" s="19" t="str">
        <f t="shared" ca="1" si="22"/>
        <v/>
      </c>
      <c r="Y109" s="19" t="str">
        <f t="shared" ca="1" si="23"/>
        <v/>
      </c>
      <c r="Z109" s="19" t="str">
        <f>IF(_xlfn.NUMBERVALUE($V109)&gt;0,SUMIFS($X$4:$X109,$W$4:$W109,$W109),"")</f>
        <v/>
      </c>
      <c r="AA109" s="19" t="str">
        <f>IF(_xlfn.NUMBERVALUE($V109)&gt;0,SUMIFS($X$4:$X109,$W$4:$W109,$W109)/COUNTIFS($W$4:$W109,$W109,$Y$4:$Y109,"Score"),"")</f>
        <v/>
      </c>
      <c r="AB109" s="19" t="str">
        <f t="shared" si="24"/>
        <v/>
      </c>
      <c r="AC109" s="20"/>
      <c r="AD109" s="13" t="s">
        <v>19</v>
      </c>
      <c r="AE109" s="13" t="s">
        <v>18</v>
      </c>
      <c r="AF109" s="13" t="s">
        <v>19</v>
      </c>
      <c r="AG109" s="13" t="s">
        <v>18</v>
      </c>
      <c r="AH109" s="13">
        <f ca="1">COUNTIFS($X$4:$X109,$X109)</f>
        <v>106</v>
      </c>
    </row>
    <row r="110" spans="21:34" x14ac:dyDescent="0.3">
      <c r="U110" s="55" t="str">
        <f t="shared" ca="1" si="19"/>
        <v/>
      </c>
      <c r="V110" s="17" t="str">
        <f t="shared" si="20"/>
        <v/>
      </c>
      <c r="W110" s="17" t="str">
        <f t="shared" ca="1" si="21"/>
        <v/>
      </c>
      <c r="X110" s="19" t="str">
        <f t="shared" ca="1" si="22"/>
        <v/>
      </c>
      <c r="Y110" s="19" t="str">
        <f t="shared" ca="1" si="23"/>
        <v/>
      </c>
      <c r="Z110" s="19" t="str">
        <f>IF(_xlfn.NUMBERVALUE($V110)&gt;0,SUMIFS($X$4:$X110,$W$4:$W110,$W110),"")</f>
        <v/>
      </c>
      <c r="AA110" s="19" t="str">
        <f>IF(_xlfn.NUMBERVALUE($V110)&gt;0,SUMIFS($X$4:$X110,$W$4:$W110,$W110)/COUNTIFS($W$4:$W110,$W110,$Y$4:$Y110,"Score"),"")</f>
        <v/>
      </c>
      <c r="AB110" s="19" t="str">
        <f t="shared" si="24"/>
        <v/>
      </c>
      <c r="AC110" s="20"/>
      <c r="AD110" s="13" t="s">
        <v>18</v>
      </c>
      <c r="AE110" s="13" t="s">
        <v>19</v>
      </c>
      <c r="AF110" s="13" t="s">
        <v>20</v>
      </c>
      <c r="AG110" s="13" t="s">
        <v>19</v>
      </c>
      <c r="AH110" s="13">
        <f ca="1">COUNTIFS($X$4:$X110,$X110)</f>
        <v>107</v>
      </c>
    </row>
    <row r="111" spans="21:34" x14ac:dyDescent="0.3">
      <c r="U111" s="55" t="str">
        <f t="shared" ca="1" si="19"/>
        <v/>
      </c>
      <c r="V111" s="17" t="str">
        <f t="shared" si="20"/>
        <v/>
      </c>
      <c r="W111" s="17" t="str">
        <f t="shared" ca="1" si="21"/>
        <v/>
      </c>
      <c r="X111" s="19" t="str">
        <f t="shared" ca="1" si="22"/>
        <v/>
      </c>
      <c r="Y111" s="19" t="str">
        <f t="shared" ca="1" si="23"/>
        <v/>
      </c>
      <c r="Z111" s="19" t="str">
        <f>IF(_xlfn.NUMBERVALUE($V111)&gt;0,SUMIFS($X$4:$X111,$W$4:$W111,$W111),"")</f>
        <v/>
      </c>
      <c r="AA111" s="19" t="str">
        <f>IF(_xlfn.NUMBERVALUE($V111)&gt;0,SUMIFS($X$4:$X111,$W$4:$W111,$W111)/COUNTIFS($W$4:$W111,$W111,$Y$4:$Y111,"Score"),"")</f>
        <v/>
      </c>
      <c r="AB111" s="19" t="str">
        <f t="shared" si="24"/>
        <v/>
      </c>
      <c r="AC111" s="20"/>
      <c r="AD111" s="13" t="s">
        <v>19</v>
      </c>
      <c r="AE111" s="13" t="s">
        <v>20</v>
      </c>
      <c r="AF111" s="13" t="s">
        <v>21</v>
      </c>
      <c r="AG111" s="13" t="s">
        <v>20</v>
      </c>
      <c r="AH111" s="13">
        <f ca="1">COUNTIFS($X$4:$X111,$X111)</f>
        <v>108</v>
      </c>
    </row>
    <row r="112" spans="21:34" x14ac:dyDescent="0.3">
      <c r="U112" s="55" t="str">
        <f t="shared" ca="1" si="19"/>
        <v/>
      </c>
      <c r="V112" s="17" t="str">
        <f t="shared" si="20"/>
        <v/>
      </c>
      <c r="W112" s="17" t="str">
        <f t="shared" ca="1" si="21"/>
        <v/>
      </c>
      <c r="X112" s="19" t="str">
        <f t="shared" ca="1" si="22"/>
        <v/>
      </c>
      <c r="Y112" s="19" t="str">
        <f t="shared" ca="1" si="23"/>
        <v/>
      </c>
      <c r="Z112" s="19" t="str">
        <f>IF(_xlfn.NUMBERVALUE($V112)&gt;0,SUMIFS($X$4:$X112,$W$4:$W112,$W112),"")</f>
        <v/>
      </c>
      <c r="AA112" s="19" t="str">
        <f>IF(_xlfn.NUMBERVALUE($V112)&gt;0,SUMIFS($X$4:$X112,$W$4:$W112,$W112)/COUNTIFS($W$4:$W112,$W112,$Y$4:$Y112,"Score"),"")</f>
        <v/>
      </c>
      <c r="AB112" s="19" t="str">
        <f t="shared" si="24"/>
        <v/>
      </c>
      <c r="AC112" s="20"/>
      <c r="AD112" s="13" t="s">
        <v>18</v>
      </c>
      <c r="AE112" s="13" t="s">
        <v>18</v>
      </c>
      <c r="AF112" s="13" t="s">
        <v>18</v>
      </c>
      <c r="AG112" s="13" t="s">
        <v>21</v>
      </c>
      <c r="AH112" s="13">
        <f ca="1">COUNTIFS($X$4:$X112,$X112)</f>
        <v>109</v>
      </c>
    </row>
    <row r="113" spans="21:34" x14ac:dyDescent="0.3">
      <c r="U113" s="55" t="str">
        <f t="shared" ca="1" si="19"/>
        <v/>
      </c>
      <c r="V113" s="17" t="str">
        <f t="shared" si="20"/>
        <v/>
      </c>
      <c r="W113" s="17" t="str">
        <f t="shared" ca="1" si="21"/>
        <v/>
      </c>
      <c r="X113" s="19" t="str">
        <f t="shared" ca="1" si="22"/>
        <v/>
      </c>
      <c r="Y113" s="19" t="str">
        <f t="shared" ca="1" si="23"/>
        <v/>
      </c>
      <c r="Z113" s="19" t="str">
        <f>IF(_xlfn.NUMBERVALUE($V113)&gt;0,SUMIFS($X$4:$X113,$W$4:$W113,$W113),"")</f>
        <v/>
      </c>
      <c r="AA113" s="19" t="str">
        <f>IF(_xlfn.NUMBERVALUE($V113)&gt;0,SUMIFS($X$4:$X113,$W$4:$W113,$W113)/COUNTIFS($W$4:$W113,$W113,$Y$4:$Y113,"Score"),"")</f>
        <v/>
      </c>
      <c r="AB113" s="19" t="str">
        <f t="shared" si="24"/>
        <v/>
      </c>
      <c r="AC113" s="20"/>
      <c r="AD113" s="13" t="s">
        <v>19</v>
      </c>
      <c r="AE113" s="13" t="s">
        <v>19</v>
      </c>
      <c r="AF113" s="13" t="s">
        <v>19</v>
      </c>
      <c r="AG113" s="13" t="s">
        <v>22</v>
      </c>
      <c r="AH113" s="13">
        <f ca="1">COUNTIFS($X$4:$X113,$X113)</f>
        <v>110</v>
      </c>
    </row>
    <row r="114" spans="21:34" x14ac:dyDescent="0.3">
      <c r="U114" s="55" t="str">
        <f t="shared" ca="1" si="19"/>
        <v/>
      </c>
      <c r="V114" s="17" t="str">
        <f t="shared" si="20"/>
        <v/>
      </c>
      <c r="W114" s="17" t="str">
        <f t="shared" ca="1" si="21"/>
        <v/>
      </c>
      <c r="X114" s="19" t="str">
        <f t="shared" ca="1" si="22"/>
        <v/>
      </c>
      <c r="Y114" s="19" t="str">
        <f t="shared" ca="1" si="23"/>
        <v/>
      </c>
      <c r="Z114" s="19" t="str">
        <f>IF(_xlfn.NUMBERVALUE($V114)&gt;0,SUMIFS($X$4:$X114,$W$4:$W114,$W114),"")</f>
        <v/>
      </c>
      <c r="AA114" s="19" t="str">
        <f>IF(_xlfn.NUMBERVALUE($V114)&gt;0,SUMIFS($X$4:$X114,$W$4:$W114,$W114)/COUNTIFS($W$4:$W114,$W114,$Y$4:$Y114,"Score"),"")</f>
        <v/>
      </c>
      <c r="AB114" s="19" t="str">
        <f t="shared" si="24"/>
        <v/>
      </c>
      <c r="AC114" s="20"/>
      <c r="AD114" s="13" t="s">
        <v>18</v>
      </c>
      <c r="AE114" s="13" t="s">
        <v>20</v>
      </c>
      <c r="AF114" s="13" t="s">
        <v>20</v>
      </c>
      <c r="AG114" s="13" t="s">
        <v>18</v>
      </c>
      <c r="AH114" s="13">
        <f ca="1">COUNTIFS($X$4:$X114,$X114)</f>
        <v>111</v>
      </c>
    </row>
    <row r="115" spans="21:34" x14ac:dyDescent="0.3">
      <c r="U115" s="55" t="str">
        <f t="shared" ca="1" si="19"/>
        <v/>
      </c>
      <c r="V115" s="17" t="str">
        <f t="shared" si="20"/>
        <v/>
      </c>
      <c r="W115" s="17" t="str">
        <f t="shared" ca="1" si="21"/>
        <v/>
      </c>
      <c r="X115" s="19" t="str">
        <f t="shared" ca="1" si="22"/>
        <v/>
      </c>
      <c r="Y115" s="19" t="str">
        <f t="shared" ca="1" si="23"/>
        <v/>
      </c>
      <c r="Z115" s="19" t="str">
        <f>IF(_xlfn.NUMBERVALUE($V115)&gt;0,SUMIFS($X$4:$X115,$W$4:$W115,$W115),"")</f>
        <v/>
      </c>
      <c r="AA115" s="19" t="str">
        <f>IF(_xlfn.NUMBERVALUE($V115)&gt;0,SUMIFS($X$4:$X115,$W$4:$W115,$W115)/COUNTIFS($W$4:$W115,$W115,$Y$4:$Y115,"Score"),"")</f>
        <v/>
      </c>
      <c r="AB115" s="19" t="str">
        <f t="shared" si="24"/>
        <v/>
      </c>
      <c r="AC115" s="20"/>
      <c r="AD115" s="13" t="s">
        <v>19</v>
      </c>
      <c r="AE115" s="13" t="s">
        <v>18</v>
      </c>
      <c r="AF115" s="13" t="s">
        <v>21</v>
      </c>
      <c r="AG115" s="13" t="s">
        <v>19</v>
      </c>
      <c r="AH115" s="13">
        <f ca="1">COUNTIFS($X$4:$X115,$X115)</f>
        <v>112</v>
      </c>
    </row>
    <row r="116" spans="21:34" x14ac:dyDescent="0.3">
      <c r="U116" s="55" t="str">
        <f t="shared" ca="1" si="19"/>
        <v/>
      </c>
      <c r="V116" s="17" t="str">
        <f t="shared" si="20"/>
        <v/>
      </c>
      <c r="W116" s="17" t="str">
        <f t="shared" ca="1" si="21"/>
        <v/>
      </c>
      <c r="X116" s="19" t="str">
        <f t="shared" ca="1" si="22"/>
        <v/>
      </c>
      <c r="Y116" s="19" t="str">
        <f t="shared" ca="1" si="23"/>
        <v/>
      </c>
      <c r="Z116" s="19" t="str">
        <f>IF(_xlfn.NUMBERVALUE($V116)&gt;0,SUMIFS($X$4:$X116,$W$4:$W116,$W116),"")</f>
        <v/>
      </c>
      <c r="AA116" s="19" t="str">
        <f>IF(_xlfn.NUMBERVALUE($V116)&gt;0,SUMIFS($X$4:$X116,$W$4:$W116,$W116)/COUNTIFS($W$4:$W116,$W116,$Y$4:$Y116,"Score"),"")</f>
        <v/>
      </c>
      <c r="AB116" s="19" t="str">
        <f t="shared" si="24"/>
        <v/>
      </c>
      <c r="AC116" s="20"/>
      <c r="AD116" s="13" t="s">
        <v>18</v>
      </c>
      <c r="AE116" s="13" t="s">
        <v>19</v>
      </c>
      <c r="AF116" s="13" t="s">
        <v>18</v>
      </c>
      <c r="AG116" s="13" t="s">
        <v>20</v>
      </c>
      <c r="AH116" s="13">
        <f ca="1">COUNTIFS($X$4:$X116,$X116)</f>
        <v>113</v>
      </c>
    </row>
    <row r="117" spans="21:34" x14ac:dyDescent="0.3">
      <c r="U117" s="55" t="str">
        <f t="shared" ca="1" si="19"/>
        <v/>
      </c>
      <c r="V117" s="17" t="str">
        <f t="shared" si="20"/>
        <v/>
      </c>
      <c r="W117" s="17" t="str">
        <f t="shared" ca="1" si="21"/>
        <v/>
      </c>
      <c r="X117" s="19" t="str">
        <f t="shared" ca="1" si="22"/>
        <v/>
      </c>
      <c r="Y117" s="19" t="str">
        <f t="shared" ca="1" si="23"/>
        <v/>
      </c>
      <c r="Z117" s="19" t="str">
        <f>IF(_xlfn.NUMBERVALUE($V117)&gt;0,SUMIFS($X$4:$X117,$W$4:$W117,$W117),"")</f>
        <v/>
      </c>
      <c r="AA117" s="19" t="str">
        <f>IF(_xlfn.NUMBERVALUE($V117)&gt;0,SUMIFS($X$4:$X117,$W$4:$W117,$W117)/COUNTIFS($W$4:$W117,$W117,$Y$4:$Y117,"Score"),"")</f>
        <v/>
      </c>
      <c r="AB117" s="19" t="str">
        <f t="shared" si="24"/>
        <v/>
      </c>
      <c r="AC117" s="20"/>
      <c r="AD117" s="13" t="s">
        <v>19</v>
      </c>
      <c r="AE117" s="13" t="s">
        <v>20</v>
      </c>
      <c r="AF117" s="13" t="s">
        <v>19</v>
      </c>
      <c r="AG117" s="13" t="s">
        <v>21</v>
      </c>
      <c r="AH117" s="13">
        <f ca="1">COUNTIFS($X$4:$X117,$X117)</f>
        <v>114</v>
      </c>
    </row>
    <row r="118" spans="21:34" x14ac:dyDescent="0.3">
      <c r="U118" s="55" t="str">
        <f t="shared" ca="1" si="19"/>
        <v/>
      </c>
      <c r="V118" s="17" t="str">
        <f t="shared" si="20"/>
        <v/>
      </c>
      <c r="W118" s="17" t="str">
        <f t="shared" ca="1" si="21"/>
        <v/>
      </c>
      <c r="X118" s="19" t="str">
        <f t="shared" ca="1" si="22"/>
        <v/>
      </c>
      <c r="Y118" s="19" t="str">
        <f t="shared" ca="1" si="23"/>
        <v/>
      </c>
      <c r="Z118" s="19" t="str">
        <f>IF(_xlfn.NUMBERVALUE($V118)&gt;0,SUMIFS($X$4:$X118,$W$4:$W118,$W118),"")</f>
        <v/>
      </c>
      <c r="AA118" s="19" t="str">
        <f>IF(_xlfn.NUMBERVALUE($V118)&gt;0,SUMIFS($X$4:$X118,$W$4:$W118,$W118)/COUNTIFS($W$4:$W118,$W118,$Y$4:$Y118,"Score"),"")</f>
        <v/>
      </c>
      <c r="AB118" s="19" t="str">
        <f t="shared" si="24"/>
        <v/>
      </c>
      <c r="AC118" s="20"/>
      <c r="AD118" s="13" t="s">
        <v>18</v>
      </c>
      <c r="AE118" s="13" t="s">
        <v>18</v>
      </c>
      <c r="AF118" s="13" t="s">
        <v>20</v>
      </c>
      <c r="AG118" s="13" t="s">
        <v>22</v>
      </c>
      <c r="AH118" s="13">
        <f ca="1">COUNTIFS($X$4:$X118,$X118)</f>
        <v>115</v>
      </c>
    </row>
    <row r="119" spans="21:34" x14ac:dyDescent="0.3">
      <c r="U119" s="55" t="str">
        <f t="shared" ca="1" si="19"/>
        <v/>
      </c>
      <c r="V119" s="17" t="str">
        <f t="shared" si="20"/>
        <v/>
      </c>
      <c r="W119" s="17" t="str">
        <f t="shared" ca="1" si="21"/>
        <v/>
      </c>
      <c r="X119" s="19" t="str">
        <f t="shared" ca="1" si="22"/>
        <v/>
      </c>
      <c r="Y119" s="19" t="str">
        <f t="shared" ca="1" si="23"/>
        <v/>
      </c>
      <c r="Z119" s="19" t="str">
        <f>IF(_xlfn.NUMBERVALUE($V119)&gt;0,SUMIFS($X$4:$X119,$W$4:$W119,$W119),"")</f>
        <v/>
      </c>
      <c r="AA119" s="19" t="str">
        <f>IF(_xlfn.NUMBERVALUE($V119)&gt;0,SUMIFS($X$4:$X119,$W$4:$W119,$W119)/COUNTIFS($W$4:$W119,$W119,$Y$4:$Y119,"Score"),"")</f>
        <v/>
      </c>
      <c r="AB119" s="19" t="str">
        <f t="shared" si="24"/>
        <v/>
      </c>
      <c r="AC119" s="20"/>
      <c r="AD119" s="13" t="s">
        <v>19</v>
      </c>
      <c r="AE119" s="13" t="s">
        <v>19</v>
      </c>
      <c r="AF119" s="13" t="s">
        <v>21</v>
      </c>
      <c r="AG119" s="13" t="s">
        <v>18</v>
      </c>
      <c r="AH119" s="13">
        <f ca="1">COUNTIFS($X$4:$X119,$X119)</f>
        <v>116</v>
      </c>
    </row>
    <row r="120" spans="21:34" x14ac:dyDescent="0.3">
      <c r="U120" s="55" t="str">
        <f t="shared" ca="1" si="19"/>
        <v/>
      </c>
      <c r="V120" s="17" t="str">
        <f t="shared" si="20"/>
        <v/>
      </c>
      <c r="W120" s="17" t="str">
        <f t="shared" ca="1" si="21"/>
        <v/>
      </c>
      <c r="X120" s="19" t="str">
        <f t="shared" ca="1" si="22"/>
        <v/>
      </c>
      <c r="Y120" s="19" t="str">
        <f t="shared" ca="1" si="23"/>
        <v/>
      </c>
      <c r="Z120" s="19" t="str">
        <f>IF(_xlfn.NUMBERVALUE($V120)&gt;0,SUMIFS($X$4:$X120,$W$4:$W120,$W120),"")</f>
        <v/>
      </c>
      <c r="AA120" s="19" t="str">
        <f>IF(_xlfn.NUMBERVALUE($V120)&gt;0,SUMIFS($X$4:$X120,$W$4:$W120,$W120)/COUNTIFS($W$4:$W120,$W120,$Y$4:$Y120,"Score"),"")</f>
        <v/>
      </c>
      <c r="AB120" s="19" t="str">
        <f t="shared" si="24"/>
        <v/>
      </c>
      <c r="AC120" s="20"/>
      <c r="AD120" s="13" t="s">
        <v>18</v>
      </c>
      <c r="AE120" s="13" t="s">
        <v>20</v>
      </c>
      <c r="AF120" s="13" t="s">
        <v>18</v>
      </c>
      <c r="AG120" s="13" t="s">
        <v>19</v>
      </c>
      <c r="AH120" s="13">
        <f ca="1">COUNTIFS($X$4:$X120,$X120)</f>
        <v>117</v>
      </c>
    </row>
    <row r="121" spans="21:34" x14ac:dyDescent="0.3">
      <c r="U121" s="55" t="str">
        <f t="shared" ca="1" si="19"/>
        <v/>
      </c>
      <c r="V121" s="17" t="str">
        <f t="shared" si="20"/>
        <v/>
      </c>
      <c r="W121" s="17" t="str">
        <f t="shared" ca="1" si="21"/>
        <v/>
      </c>
      <c r="X121" s="19" t="str">
        <f t="shared" ca="1" si="22"/>
        <v/>
      </c>
      <c r="Y121" s="19" t="str">
        <f t="shared" ca="1" si="23"/>
        <v/>
      </c>
      <c r="Z121" s="19" t="str">
        <f>IF(_xlfn.NUMBERVALUE($V121)&gt;0,SUMIFS($X$4:$X121,$W$4:$W121,$W121),"")</f>
        <v/>
      </c>
      <c r="AA121" s="19" t="str">
        <f>IF(_xlfn.NUMBERVALUE($V121)&gt;0,SUMIFS($X$4:$X121,$W$4:$W121,$W121)/COUNTIFS($W$4:$W121,$W121,$Y$4:$Y121,"Score"),"")</f>
        <v/>
      </c>
      <c r="AB121" s="19" t="str">
        <f t="shared" si="24"/>
        <v/>
      </c>
      <c r="AC121" s="20"/>
      <c r="AD121" s="13" t="s">
        <v>19</v>
      </c>
      <c r="AE121" s="13" t="s">
        <v>18</v>
      </c>
      <c r="AF121" s="13" t="s">
        <v>19</v>
      </c>
      <c r="AG121" s="13" t="s">
        <v>20</v>
      </c>
      <c r="AH121" s="13">
        <f ca="1">COUNTIFS($X$4:$X121,$X121)</f>
        <v>118</v>
      </c>
    </row>
    <row r="122" spans="21:34" x14ac:dyDescent="0.3">
      <c r="U122" s="55" t="str">
        <f t="shared" ca="1" si="19"/>
        <v/>
      </c>
      <c r="V122" s="17" t="str">
        <f t="shared" si="20"/>
        <v/>
      </c>
      <c r="W122" s="17" t="str">
        <f t="shared" ca="1" si="21"/>
        <v/>
      </c>
      <c r="X122" s="19" t="str">
        <f t="shared" ca="1" si="22"/>
        <v/>
      </c>
      <c r="Y122" s="19" t="str">
        <f t="shared" ca="1" si="23"/>
        <v/>
      </c>
      <c r="Z122" s="19" t="str">
        <f>IF(_xlfn.NUMBERVALUE($V122)&gt;0,SUMIFS($X$4:$X122,$W$4:$W122,$W122),"")</f>
        <v/>
      </c>
      <c r="AA122" s="19" t="str">
        <f>IF(_xlfn.NUMBERVALUE($V122)&gt;0,SUMIFS($X$4:$X122,$W$4:$W122,$W122)/COUNTIFS($W$4:$W122,$W122,$Y$4:$Y122,"Score"),"")</f>
        <v/>
      </c>
      <c r="AB122" s="19" t="str">
        <f t="shared" si="24"/>
        <v/>
      </c>
      <c r="AC122" s="20"/>
      <c r="AD122" s="13" t="s">
        <v>18</v>
      </c>
      <c r="AE122" s="13" t="s">
        <v>19</v>
      </c>
      <c r="AF122" s="13" t="s">
        <v>20</v>
      </c>
      <c r="AG122" s="13" t="s">
        <v>21</v>
      </c>
      <c r="AH122" s="13">
        <f ca="1">COUNTIFS($X$4:$X122,$X122)</f>
        <v>119</v>
      </c>
    </row>
    <row r="123" spans="21:34" ht="15" thickBot="1" x14ac:dyDescent="0.35">
      <c r="U123" s="58" t="str">
        <f t="shared" ca="1" si="19"/>
        <v/>
      </c>
      <c r="V123" s="18" t="str">
        <f t="shared" si="20"/>
        <v/>
      </c>
      <c r="W123" s="18" t="str">
        <f t="shared" ca="1" si="21"/>
        <v/>
      </c>
      <c r="X123" s="22" t="str">
        <f t="shared" ca="1" si="22"/>
        <v/>
      </c>
      <c r="Y123" s="22" t="str">
        <f t="shared" ca="1" si="23"/>
        <v/>
      </c>
      <c r="Z123" s="22" t="str">
        <f>IF(_xlfn.NUMBERVALUE($V123)&gt;0,SUMIFS($X$4:$X123,$W$4:$W123,$W123),"")</f>
        <v/>
      </c>
      <c r="AA123" s="22" t="str">
        <f>IF(_xlfn.NUMBERVALUE($V123)&gt;0,SUMIFS($X$4:$X123,$W$4:$W123,$W123)/COUNTIFS($W$4:$W123,$W123,$Y$4:$Y123,"Score"),"")</f>
        <v/>
      </c>
      <c r="AB123" s="22" t="str">
        <f t="shared" si="24"/>
        <v/>
      </c>
      <c r="AC123" s="23"/>
      <c r="AD123" s="13" t="s">
        <v>19</v>
      </c>
      <c r="AE123" s="13" t="s">
        <v>20</v>
      </c>
      <c r="AF123" s="13" t="s">
        <v>21</v>
      </c>
      <c r="AG123" s="13" t="s">
        <v>22</v>
      </c>
      <c r="AH123" s="13">
        <f ca="1">COUNTIFS($X$4:$X123,$X123)</f>
        <v>120</v>
      </c>
    </row>
  </sheetData>
  <mergeCells count="14">
    <mergeCell ref="M21:M23"/>
    <mergeCell ref="AD1:AH1"/>
    <mergeCell ref="M3:S3"/>
    <mergeCell ref="M9:S9"/>
    <mergeCell ref="M16:S16"/>
    <mergeCell ref="C1:AC1"/>
    <mergeCell ref="A2:K2"/>
    <mergeCell ref="M2:S2"/>
    <mergeCell ref="B3:C3"/>
    <mergeCell ref="D3:E3"/>
    <mergeCell ref="F3:G3"/>
    <mergeCell ref="H3:I3"/>
    <mergeCell ref="J3:K3"/>
    <mergeCell ref="U2:AC2"/>
  </mergeCells>
  <conditionalFormatting sqref="AC5:AC123">
    <cfRule type="cellIs" dxfId="12" priority="8" operator="lessThan">
      <formula>0</formula>
    </cfRule>
    <cfRule type="cellIs" dxfId="11" priority="9" operator="greaterThan">
      <formula>0</formula>
    </cfRule>
  </conditionalFormatting>
  <conditionalFormatting sqref="AC4">
    <cfRule type="cellIs" dxfId="10" priority="7" operator="greaterThan">
      <formula>0</formula>
    </cfRule>
  </conditionalFormatting>
  <conditionalFormatting sqref="AC4:AC123">
    <cfRule type="containsText" dxfId="9" priority="6" operator="containsText" text=" ">
      <formula>NOT(ISERROR(SEARCH(" ",AC4)))</formula>
    </cfRule>
  </conditionalFormatting>
  <conditionalFormatting sqref="N11:R11">
    <cfRule type="containsText" dxfId="8" priority="2" operator="containsText" text="hello despair">
      <formula>NOT(ISERROR(SEARCH("hello despair",N11)))</formula>
    </cfRule>
    <cfRule type="containsText" dxfId="7" priority="3" operator="containsText" text="3rd">
      <formula>NOT(ISERROR(SEARCH("3rd",N11)))</formula>
    </cfRule>
    <cfRule type="containsText" dxfId="6" priority="4" operator="containsText" text="2nd">
      <formula>NOT(ISERROR(SEARCH("2nd",N11)))</formula>
    </cfRule>
    <cfRule type="containsText" dxfId="5" priority="5" operator="containsText" text="1st">
      <formula>NOT(ISERROR(SEARCH("1st",N11)))</formula>
    </cfRule>
  </conditionalFormatting>
  <conditionalFormatting sqref="Z4:Z12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{CBE367E6-4CD9-47FA-9F9D-48523C987791}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Sheet">
                <anchor moveWithCells="1" sizeWithCells="1">
                  <from>
                    <xdr:col>13</xdr:col>
                    <xdr:colOff>38100</xdr:colOff>
                    <xdr:row>27</xdr:row>
                    <xdr:rowOff>22860</xdr:rowOff>
                  </from>
                  <to>
                    <xdr:col>14</xdr:col>
                    <xdr:colOff>937260</xdr:colOff>
                    <xdr:row>28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E367E6-4CD9-47FA-9F9D-48523C98779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Z4:Z123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1B288-F70F-44B5-90E4-9B2CED190A41}">
  <sheetPr codeName="Sheet3"/>
  <dimension ref="A1:K138"/>
  <sheetViews>
    <sheetView topLeftCell="A132" workbookViewId="0">
      <selection activeCell="G138" sqref="G138"/>
    </sheetView>
  </sheetViews>
  <sheetFormatPr defaultRowHeight="14.4" x14ac:dyDescent="0.3"/>
  <cols>
    <col min="1" max="1" width="16.109375" bestFit="1" customWidth="1"/>
    <col min="2" max="2" width="13.44140625" bestFit="1" customWidth="1"/>
    <col min="3" max="3" width="7.6640625" customWidth="1"/>
    <col min="4" max="7" width="12.77734375" customWidth="1"/>
    <col min="8" max="8" width="13.109375" customWidth="1"/>
    <col min="9" max="9" width="12.77734375" customWidth="1"/>
    <col min="10" max="10" width="13.77734375" customWidth="1"/>
    <col min="11" max="11" width="12.77734375" customWidth="1"/>
  </cols>
  <sheetData>
    <row r="1" spans="1:11" ht="15" thickBot="1" x14ac:dyDescent="0.35"/>
    <row r="2" spans="1:11" ht="20.399999999999999" thickBot="1" x14ac:dyDescent="0.45">
      <c r="A2" s="49" t="s">
        <v>40</v>
      </c>
      <c r="B2" s="50"/>
      <c r="C2" s="50"/>
      <c r="D2" s="50"/>
      <c r="E2" s="50"/>
      <c r="F2" s="50"/>
      <c r="G2" s="50"/>
      <c r="H2" s="50"/>
      <c r="I2" s="50"/>
      <c r="J2" s="50"/>
      <c r="K2" s="51"/>
    </row>
    <row r="3" spans="1:11" ht="18" thickBot="1" x14ac:dyDescent="0.4">
      <c r="A3" s="54" t="s">
        <v>46</v>
      </c>
      <c r="B3" s="40" t="s">
        <v>38</v>
      </c>
      <c r="C3" s="40" t="s">
        <v>0</v>
      </c>
      <c r="D3" s="40" t="s">
        <v>15</v>
      </c>
      <c r="E3" s="40" t="s">
        <v>28</v>
      </c>
      <c r="F3" s="40" t="s">
        <v>47</v>
      </c>
      <c r="G3" s="40" t="s">
        <v>29</v>
      </c>
      <c r="H3" s="40" t="s">
        <v>56</v>
      </c>
      <c r="I3" s="40" t="s">
        <v>57</v>
      </c>
      <c r="J3" s="40" t="s">
        <v>48</v>
      </c>
      <c r="K3" s="40" t="s">
        <v>49</v>
      </c>
    </row>
    <row r="4" spans="1:11" ht="15" thickTop="1" x14ac:dyDescent="0.3">
      <c r="A4" s="16" t="str">
        <f>B4&amp;"-"&amp;C4</f>
        <v>Game 06.28.18-1</v>
      </c>
      <c r="B4" s="16" t="s">
        <v>50</v>
      </c>
      <c r="C4" s="16">
        <v>1</v>
      </c>
      <c r="D4" s="25" t="s">
        <v>1</v>
      </c>
      <c r="E4" s="25">
        <v>18</v>
      </c>
      <c r="F4" s="19" t="s">
        <v>53</v>
      </c>
      <c r="G4" s="25">
        <f>SUMIFS($E$4:$E4,$D$4:$D4,$D4,$B$4:$B4,$B4)</f>
        <v>18</v>
      </c>
      <c r="H4" s="25"/>
      <c r="I4" s="19"/>
      <c r="J4" s="25"/>
      <c r="K4" s="25"/>
    </row>
    <row r="5" spans="1:11" x14ac:dyDescent="0.3">
      <c r="A5" s="17" t="str">
        <f>B5&amp;"-"&amp;C5</f>
        <v>Game 06.28.18-2</v>
      </c>
      <c r="B5" s="17" t="s">
        <v>50</v>
      </c>
      <c r="C5" s="16">
        <v>2</v>
      </c>
      <c r="D5" s="25" t="s">
        <v>2</v>
      </c>
      <c r="E5" s="19">
        <v>25</v>
      </c>
      <c r="F5" s="19" t="s">
        <v>53</v>
      </c>
      <c r="G5" s="19">
        <f>SUMIFS($E$4:$E5,$D$4:$D5,$D5,$B$4:$B5,$B5)</f>
        <v>25</v>
      </c>
      <c r="H5" s="25"/>
      <c r="I5" s="19"/>
      <c r="J5" s="19"/>
      <c r="K5" s="19"/>
    </row>
    <row r="6" spans="1:11" x14ac:dyDescent="0.3">
      <c r="A6" s="17" t="str">
        <f>B6&amp;"-"&amp;C6</f>
        <v>Game 06.28.18-3</v>
      </c>
      <c r="B6" s="17" t="s">
        <v>50</v>
      </c>
      <c r="C6" s="16">
        <v>3</v>
      </c>
      <c r="D6" s="25" t="s">
        <v>3</v>
      </c>
      <c r="E6" s="19">
        <v>20</v>
      </c>
      <c r="F6" s="19" t="s">
        <v>53</v>
      </c>
      <c r="G6" s="19">
        <f>SUMIFS($E$4:$E6,$D$4:$D6,$D6,$B$4:$B6,$B6)</f>
        <v>20</v>
      </c>
      <c r="H6" s="25"/>
      <c r="I6" s="19"/>
      <c r="J6" s="19"/>
      <c r="K6" s="19"/>
    </row>
    <row r="7" spans="1:11" x14ac:dyDescent="0.3">
      <c r="A7" s="17" t="str">
        <f>B7&amp;"-"&amp;C7</f>
        <v>Game 06.28.18-4</v>
      </c>
      <c r="B7" s="17" t="s">
        <v>50</v>
      </c>
      <c r="C7" s="16">
        <v>4</v>
      </c>
      <c r="D7" s="25" t="s">
        <v>1</v>
      </c>
      <c r="E7" s="19">
        <v>19</v>
      </c>
      <c r="F7" s="19" t="s">
        <v>53</v>
      </c>
      <c r="G7" s="19">
        <f>SUMIFS($E$4:$E7,$D$4:$D7,$D7,$B$4:$B7,$B7)</f>
        <v>37</v>
      </c>
      <c r="H7" s="25"/>
      <c r="I7" s="19"/>
      <c r="J7" s="19"/>
      <c r="K7" s="19"/>
    </row>
    <row r="8" spans="1:11" x14ac:dyDescent="0.3">
      <c r="A8" s="17" t="str">
        <f>B8&amp;"-"&amp;C8</f>
        <v>Game 06.28.18-5</v>
      </c>
      <c r="B8" s="17" t="s">
        <v>50</v>
      </c>
      <c r="C8" s="16">
        <v>5</v>
      </c>
      <c r="D8" s="25" t="s">
        <v>2</v>
      </c>
      <c r="E8" s="19">
        <v>9</v>
      </c>
      <c r="F8" s="19" t="s">
        <v>53</v>
      </c>
      <c r="G8" s="19">
        <f>SUMIFS($E$4:$E8,$D$4:$D8,$D8,$B$4:$B8,$B8)</f>
        <v>34</v>
      </c>
      <c r="H8" s="25"/>
      <c r="I8" s="19"/>
      <c r="J8" s="19"/>
      <c r="K8" s="19"/>
    </row>
    <row r="9" spans="1:11" x14ac:dyDescent="0.3">
      <c r="A9" s="17" t="str">
        <f>B9&amp;"-"&amp;C9</f>
        <v>Game 06.28.18-6</v>
      </c>
      <c r="B9" s="17" t="s">
        <v>50</v>
      </c>
      <c r="C9" s="16">
        <v>6</v>
      </c>
      <c r="D9" s="25" t="s">
        <v>3</v>
      </c>
      <c r="E9" s="19">
        <v>20</v>
      </c>
      <c r="F9" s="19" t="s">
        <v>53</v>
      </c>
      <c r="G9" s="19">
        <f>SUMIFS($E$4:$E9,$D$4:$D9,$D9,$B$4:$B9,$B9)</f>
        <v>40</v>
      </c>
      <c r="H9" s="25"/>
      <c r="I9" s="19"/>
      <c r="J9" s="19"/>
      <c r="K9" s="19"/>
    </row>
    <row r="10" spans="1:11" x14ac:dyDescent="0.3">
      <c r="A10" s="17" t="str">
        <f>B10&amp;"-"&amp;C10</f>
        <v>Game 06.28.18-7</v>
      </c>
      <c r="B10" s="17" t="s">
        <v>50</v>
      </c>
      <c r="C10" s="16">
        <v>7</v>
      </c>
      <c r="D10" s="25" t="s">
        <v>1</v>
      </c>
      <c r="E10" s="19">
        <v>10</v>
      </c>
      <c r="F10" s="19" t="s">
        <v>53</v>
      </c>
      <c r="G10" s="19">
        <f>SUMIFS($E$4:$E10,$D$4:$D10,$D10,$B$4:$B10,$B10)</f>
        <v>47</v>
      </c>
      <c r="H10" s="25"/>
      <c r="I10" s="19"/>
      <c r="J10" s="19"/>
      <c r="K10" s="19"/>
    </row>
    <row r="11" spans="1:11" x14ac:dyDescent="0.3">
      <c r="A11" s="17" t="str">
        <f>B11&amp;"-"&amp;C11</f>
        <v>Game 06.28.18-8</v>
      </c>
      <c r="B11" s="17" t="s">
        <v>50</v>
      </c>
      <c r="C11" s="16">
        <v>8</v>
      </c>
      <c r="D11" s="25" t="s">
        <v>2</v>
      </c>
      <c r="E11" s="19">
        <v>13</v>
      </c>
      <c r="F11" s="19" t="s">
        <v>53</v>
      </c>
      <c r="G11" s="19">
        <f>SUMIFS($E$4:$E11,$D$4:$D11,$D11,$B$4:$B11,$B11)</f>
        <v>47</v>
      </c>
      <c r="H11" s="25"/>
      <c r="I11" s="19"/>
      <c r="J11" s="19"/>
      <c r="K11" s="19"/>
    </row>
    <row r="12" spans="1:11" x14ac:dyDescent="0.3">
      <c r="A12" s="17" t="str">
        <f>B12&amp;"-"&amp;C12</f>
        <v>Game 06.28.18-9</v>
      </c>
      <c r="B12" s="17" t="s">
        <v>50</v>
      </c>
      <c r="C12" s="16">
        <v>9</v>
      </c>
      <c r="D12" s="25" t="s">
        <v>3</v>
      </c>
      <c r="E12" s="19">
        <v>8</v>
      </c>
      <c r="F12" s="19" t="s">
        <v>53</v>
      </c>
      <c r="G12" s="19">
        <f>SUMIFS($E$4:$E12,$D$4:$D12,$D12,$B$4:$B12,$B12)</f>
        <v>48</v>
      </c>
      <c r="H12" s="25"/>
      <c r="I12" s="19"/>
      <c r="J12" s="19"/>
      <c r="K12" s="19"/>
    </row>
    <row r="13" spans="1:11" x14ac:dyDescent="0.3">
      <c r="A13" s="17" t="str">
        <f>B13&amp;"-"&amp;C13</f>
        <v>Game 06.28.18-10</v>
      </c>
      <c r="B13" s="17" t="s">
        <v>50</v>
      </c>
      <c r="C13" s="16">
        <v>10</v>
      </c>
      <c r="D13" s="25" t="s">
        <v>1</v>
      </c>
      <c r="E13" s="19">
        <v>28</v>
      </c>
      <c r="F13" s="19" t="s">
        <v>53</v>
      </c>
      <c r="G13" s="19">
        <f>SUMIFS($E$4:$E13,$D$4:$D13,$D13,$B$4:$B13,$B13)</f>
        <v>75</v>
      </c>
      <c r="H13" s="25"/>
      <c r="I13" s="19"/>
      <c r="J13" s="19"/>
      <c r="K13" s="19"/>
    </row>
    <row r="14" spans="1:11" x14ac:dyDescent="0.3">
      <c r="A14" s="17" t="str">
        <f>B14&amp;"-"&amp;C14</f>
        <v>Game 06.28.18-11</v>
      </c>
      <c r="B14" s="17" t="s">
        <v>50</v>
      </c>
      <c r="C14" s="16">
        <v>11</v>
      </c>
      <c r="D14" s="25" t="s">
        <v>2</v>
      </c>
      <c r="E14" s="19">
        <v>16</v>
      </c>
      <c r="F14" s="19" t="s">
        <v>53</v>
      </c>
      <c r="G14" s="19">
        <f>SUMIFS($E$4:$E14,$D$4:$D14,$D14,$B$4:$B14,$B14)</f>
        <v>63</v>
      </c>
      <c r="H14" s="25"/>
      <c r="I14" s="19"/>
      <c r="J14" s="19"/>
      <c r="K14" s="19"/>
    </row>
    <row r="15" spans="1:11" x14ac:dyDescent="0.3">
      <c r="A15" s="17" t="str">
        <f>B15&amp;"-"&amp;C15</f>
        <v>Game 06.28.18-12</v>
      </c>
      <c r="B15" s="17" t="s">
        <v>50</v>
      </c>
      <c r="C15" s="16">
        <v>12</v>
      </c>
      <c r="D15" s="25" t="s">
        <v>3</v>
      </c>
      <c r="E15" s="19">
        <v>13</v>
      </c>
      <c r="F15" s="19" t="s">
        <v>53</v>
      </c>
      <c r="G15" s="19">
        <f>SUMIFS($E$4:$E15,$D$4:$D15,$D15,$B$4:$B15,$B15)</f>
        <v>61</v>
      </c>
      <c r="H15" s="25"/>
      <c r="I15" s="19"/>
      <c r="J15" s="19"/>
      <c r="K15" s="19"/>
    </row>
    <row r="16" spans="1:11" x14ac:dyDescent="0.3">
      <c r="A16" s="17" t="str">
        <f>B16&amp;"-"&amp;C16</f>
        <v>Game 06.28.18-13</v>
      </c>
      <c r="B16" s="17" t="s">
        <v>50</v>
      </c>
      <c r="C16" s="16">
        <v>13</v>
      </c>
      <c r="D16" s="25" t="s">
        <v>1</v>
      </c>
      <c r="E16" s="19">
        <v>25</v>
      </c>
      <c r="F16" s="19" t="s">
        <v>53</v>
      </c>
      <c r="G16" s="19">
        <f>SUMIFS($E$4:$E16,$D$4:$D16,$D16,$B$4:$B16,$B16)</f>
        <v>100</v>
      </c>
      <c r="H16" s="19"/>
      <c r="I16" s="19"/>
      <c r="J16" s="19"/>
      <c r="K16" s="19"/>
    </row>
    <row r="17" spans="1:11" x14ac:dyDescent="0.3">
      <c r="A17" s="17" t="str">
        <f>B17&amp;"-"&amp;C17</f>
        <v>Game 06.28.18-14</v>
      </c>
      <c r="B17" s="17" t="s">
        <v>50</v>
      </c>
      <c r="C17" s="16">
        <v>14</v>
      </c>
      <c r="D17" s="25" t="s">
        <v>2</v>
      </c>
      <c r="E17" s="19">
        <v>35</v>
      </c>
      <c r="F17" s="19" t="s">
        <v>53</v>
      </c>
      <c r="G17" s="19">
        <f>SUMIFS($E$4:$E17,$D$4:$D17,$D17,$B$4:$B17,$B17)</f>
        <v>98</v>
      </c>
      <c r="H17" s="19"/>
      <c r="I17" s="19"/>
      <c r="J17" s="19"/>
      <c r="K17" s="19"/>
    </row>
    <row r="18" spans="1:11" x14ac:dyDescent="0.3">
      <c r="A18" s="17" t="str">
        <f>B18&amp;"-"&amp;C18</f>
        <v>Game 06.28.18-15</v>
      </c>
      <c r="B18" s="17" t="s">
        <v>50</v>
      </c>
      <c r="C18" s="16">
        <v>15</v>
      </c>
      <c r="D18" s="25" t="s">
        <v>3</v>
      </c>
      <c r="E18" s="19">
        <v>29</v>
      </c>
      <c r="F18" s="19" t="s">
        <v>53</v>
      </c>
      <c r="G18" s="19">
        <f>SUMIFS($E$4:$E18,$D$4:$D18,$D18,$B$4:$B18,$B18)</f>
        <v>90</v>
      </c>
      <c r="H18" s="19"/>
      <c r="I18" s="19"/>
      <c r="J18" s="19"/>
      <c r="K18" s="19"/>
    </row>
    <row r="19" spans="1:11" x14ac:dyDescent="0.3">
      <c r="A19" s="17" t="str">
        <f>B19&amp;"-"&amp;C19</f>
        <v>Game 06.28.18-16</v>
      </c>
      <c r="B19" s="17" t="s">
        <v>50</v>
      </c>
      <c r="C19" s="16">
        <v>16</v>
      </c>
      <c r="D19" s="25" t="s">
        <v>1</v>
      </c>
      <c r="E19" s="19">
        <v>40</v>
      </c>
      <c r="F19" s="19" t="s">
        <v>53</v>
      </c>
      <c r="G19" s="19">
        <f>SUMIFS($E$4:$E19,$D$4:$D19,$D19,$B$4:$B19,$B19)</f>
        <v>140</v>
      </c>
      <c r="H19" s="19"/>
      <c r="I19" s="19"/>
      <c r="J19" s="19"/>
      <c r="K19" s="19"/>
    </row>
    <row r="20" spans="1:11" x14ac:dyDescent="0.3">
      <c r="A20" s="17" t="str">
        <f>B20&amp;"-"&amp;C20</f>
        <v>Game 06.28.18-17</v>
      </c>
      <c r="B20" s="17" t="s">
        <v>50</v>
      </c>
      <c r="C20" s="16">
        <v>17</v>
      </c>
      <c r="D20" s="25" t="s">
        <v>2</v>
      </c>
      <c r="E20" s="19">
        <v>31</v>
      </c>
      <c r="F20" s="19" t="s">
        <v>53</v>
      </c>
      <c r="G20" s="19">
        <f>SUMIFS($E$4:$E20,$D$4:$D20,$D20,$B$4:$B20,$B20)</f>
        <v>129</v>
      </c>
      <c r="H20" s="19"/>
      <c r="I20" s="19"/>
      <c r="J20" s="19"/>
      <c r="K20" s="19"/>
    </row>
    <row r="21" spans="1:11" x14ac:dyDescent="0.3">
      <c r="A21" s="17" t="str">
        <f>B21&amp;"-"&amp;C21</f>
        <v>Game 06.28.18-18</v>
      </c>
      <c r="B21" s="17" t="s">
        <v>50</v>
      </c>
      <c r="C21" s="16">
        <v>18</v>
      </c>
      <c r="D21" s="25" t="s">
        <v>3</v>
      </c>
      <c r="E21" s="19">
        <v>13</v>
      </c>
      <c r="F21" s="19" t="s">
        <v>53</v>
      </c>
      <c r="G21" s="19">
        <f>SUMIFS($E$4:$E21,$D$4:$D21,$D21,$B$4:$B21,$B21)</f>
        <v>103</v>
      </c>
      <c r="H21" s="19"/>
      <c r="I21" s="19"/>
      <c r="J21" s="19"/>
      <c r="K21" s="19"/>
    </row>
    <row r="22" spans="1:11" x14ac:dyDescent="0.3">
      <c r="A22" s="17" t="str">
        <f>B22&amp;"-"&amp;C22</f>
        <v>Game 06.28.18-19</v>
      </c>
      <c r="B22" s="17" t="s">
        <v>50</v>
      </c>
      <c r="C22" s="16">
        <v>19</v>
      </c>
      <c r="D22" s="25" t="s">
        <v>1</v>
      </c>
      <c r="E22" s="19">
        <v>25</v>
      </c>
      <c r="F22" s="19" t="s">
        <v>53</v>
      </c>
      <c r="G22" s="19">
        <f>SUMIFS($E$4:$E22,$D$4:$D22,$D22,$B$4:$B22,$B22)</f>
        <v>165</v>
      </c>
      <c r="H22" s="19"/>
      <c r="I22" s="19"/>
      <c r="J22" s="19"/>
      <c r="K22" s="19"/>
    </row>
    <row r="23" spans="1:11" x14ac:dyDescent="0.3">
      <c r="A23" s="17" t="str">
        <f>B23&amp;"-"&amp;C23</f>
        <v>Game 06.28.18-20</v>
      </c>
      <c r="B23" s="17" t="s">
        <v>50</v>
      </c>
      <c r="C23" s="16">
        <v>20</v>
      </c>
      <c r="D23" s="25" t="s">
        <v>2</v>
      </c>
      <c r="E23" s="19">
        <v>37</v>
      </c>
      <c r="F23" s="19" t="s">
        <v>53</v>
      </c>
      <c r="G23" s="19">
        <f>SUMIFS($E$4:$E23,$D$4:$D23,$D23,$B$4:$B23,$B23)</f>
        <v>166</v>
      </c>
      <c r="H23" s="19"/>
      <c r="I23" s="19"/>
      <c r="J23" s="19"/>
      <c r="K23" s="19"/>
    </row>
    <row r="24" spans="1:11" x14ac:dyDescent="0.3">
      <c r="A24" s="17" t="str">
        <f>B24&amp;"-"&amp;C24</f>
        <v>Game 06.28.18-21</v>
      </c>
      <c r="B24" s="17" t="s">
        <v>50</v>
      </c>
      <c r="C24" s="16">
        <v>21</v>
      </c>
      <c r="D24" s="25" t="s">
        <v>3</v>
      </c>
      <c r="E24" s="19">
        <v>23</v>
      </c>
      <c r="F24" s="19" t="s">
        <v>53</v>
      </c>
      <c r="G24" s="19">
        <f>SUMIFS($E$4:$E24,$D$4:$D24,$D24,$B$4:$B24,$B24)</f>
        <v>126</v>
      </c>
      <c r="H24" s="19"/>
      <c r="I24" s="19"/>
      <c r="J24" s="19"/>
      <c r="K24" s="19"/>
    </row>
    <row r="25" spans="1:11" x14ac:dyDescent="0.3">
      <c r="A25" s="17" t="str">
        <f>B25&amp;"-"&amp;C25</f>
        <v>Game 06.28.18-22</v>
      </c>
      <c r="B25" s="17" t="s">
        <v>50</v>
      </c>
      <c r="C25" s="16">
        <v>22</v>
      </c>
      <c r="D25" s="25" t="s">
        <v>1</v>
      </c>
      <c r="E25" s="19">
        <v>38</v>
      </c>
      <c r="F25" s="19" t="s">
        <v>53</v>
      </c>
      <c r="G25" s="19">
        <f>SUMIFS($E$4:$E25,$D$4:$D25,$D25,$B$4:$B25,$B25)</f>
        <v>203</v>
      </c>
      <c r="H25" s="19"/>
      <c r="I25" s="19"/>
      <c r="J25" s="19"/>
      <c r="K25" s="19"/>
    </row>
    <row r="26" spans="1:11" x14ac:dyDescent="0.3">
      <c r="A26" s="17" t="str">
        <f>B26&amp;"-"&amp;C26</f>
        <v>Game 06.28.18-23</v>
      </c>
      <c r="B26" s="17" t="s">
        <v>50</v>
      </c>
      <c r="C26" s="16">
        <v>23</v>
      </c>
      <c r="D26" s="25" t="s">
        <v>2</v>
      </c>
      <c r="E26" s="19">
        <v>8</v>
      </c>
      <c r="F26" s="19" t="s">
        <v>53</v>
      </c>
      <c r="G26" s="19">
        <f>SUMIFS($E$4:$E26,$D$4:$D26,$D26,$B$4:$B26,$B26)</f>
        <v>174</v>
      </c>
      <c r="H26" s="19"/>
      <c r="I26" s="19"/>
      <c r="J26" s="19"/>
      <c r="K26" s="19"/>
    </row>
    <row r="27" spans="1:11" x14ac:dyDescent="0.3">
      <c r="A27" s="17" t="str">
        <f>B27&amp;"-"&amp;C27</f>
        <v>Game 06.28.18-24</v>
      </c>
      <c r="B27" s="17" t="s">
        <v>50</v>
      </c>
      <c r="C27" s="16">
        <v>24</v>
      </c>
      <c r="D27" s="25" t="s">
        <v>3</v>
      </c>
      <c r="E27" s="19">
        <v>17</v>
      </c>
      <c r="F27" s="19" t="s">
        <v>53</v>
      </c>
      <c r="G27" s="19">
        <f>SUMIFS($E$4:$E27,$D$4:$D27,$D27,$B$4:$B27,$B27)</f>
        <v>143</v>
      </c>
      <c r="H27" s="19"/>
      <c r="I27" s="19"/>
      <c r="J27" s="19"/>
      <c r="K27" s="19"/>
    </row>
    <row r="28" spans="1:11" x14ac:dyDescent="0.3">
      <c r="A28" s="17" t="str">
        <f>B28&amp;"-"&amp;C28</f>
        <v>Game 06.28.18-25</v>
      </c>
      <c r="B28" s="17" t="s">
        <v>50</v>
      </c>
      <c r="C28" s="16">
        <v>25</v>
      </c>
      <c r="D28" s="25" t="s">
        <v>1</v>
      </c>
      <c r="E28" s="19">
        <v>30</v>
      </c>
      <c r="F28" s="19" t="s">
        <v>53</v>
      </c>
      <c r="G28" s="19">
        <f>SUMIFS($E$4:$E28,$D$4:$D28,$D28,$B$4:$B28,$B28)</f>
        <v>233</v>
      </c>
      <c r="H28" s="19"/>
      <c r="I28" s="19"/>
      <c r="J28" s="19"/>
      <c r="K28" s="19"/>
    </row>
    <row r="29" spans="1:11" x14ac:dyDescent="0.3">
      <c r="A29" s="17" t="str">
        <f>B29&amp;"-"&amp;C29</f>
        <v>Game 06.28.18-26</v>
      </c>
      <c r="B29" s="17" t="s">
        <v>50</v>
      </c>
      <c r="C29" s="16">
        <v>26</v>
      </c>
      <c r="D29" s="25" t="s">
        <v>2</v>
      </c>
      <c r="E29" s="19">
        <v>8</v>
      </c>
      <c r="F29" s="19" t="s">
        <v>53</v>
      </c>
      <c r="G29" s="19">
        <f>SUMIFS($E$4:$E29,$D$4:$D29,$D29,$B$4:$B29,$B29)</f>
        <v>182</v>
      </c>
      <c r="H29" s="19"/>
      <c r="I29" s="19"/>
      <c r="J29" s="19"/>
      <c r="K29" s="19"/>
    </row>
    <row r="30" spans="1:11" x14ac:dyDescent="0.3">
      <c r="A30" s="17" t="str">
        <f>B30&amp;"-"&amp;C30</f>
        <v>Game 06.28.18-27</v>
      </c>
      <c r="B30" s="17" t="s">
        <v>50</v>
      </c>
      <c r="C30" s="16">
        <v>27</v>
      </c>
      <c r="D30" s="25" t="s">
        <v>3</v>
      </c>
      <c r="E30" s="19">
        <v>28</v>
      </c>
      <c r="F30" s="19" t="s">
        <v>53</v>
      </c>
      <c r="G30" s="19">
        <f>SUMIFS($E$4:$E30,$D$4:$D30,$D30,$B$4:$B30,$B30)</f>
        <v>171</v>
      </c>
      <c r="H30" s="19"/>
      <c r="I30" s="19"/>
      <c r="J30" s="19"/>
      <c r="K30" s="19"/>
    </row>
    <row r="31" spans="1:11" x14ac:dyDescent="0.3">
      <c r="A31" s="17" t="str">
        <f>B31&amp;"-"&amp;C31</f>
        <v>Game 06.28.18-28</v>
      </c>
      <c r="B31" s="17" t="s">
        <v>50</v>
      </c>
      <c r="C31" s="16">
        <v>28</v>
      </c>
      <c r="D31" s="25" t="s">
        <v>1</v>
      </c>
      <c r="E31" s="19">
        <v>-3</v>
      </c>
      <c r="F31" s="19" t="s">
        <v>54</v>
      </c>
      <c r="G31" s="19">
        <f>SUMIFS($E$4:$E31,$D$4:$D31,$D31,$B$4:$B31,$B31)</f>
        <v>230</v>
      </c>
      <c r="H31" s="19"/>
      <c r="I31" s="19"/>
      <c r="J31" s="19"/>
      <c r="K31" s="19"/>
    </row>
    <row r="32" spans="1:11" x14ac:dyDescent="0.3">
      <c r="A32" s="17" t="str">
        <f>B32&amp;"-"&amp;C32</f>
        <v>Game 06.28.18-29</v>
      </c>
      <c r="B32" s="17" t="s">
        <v>50</v>
      </c>
      <c r="C32" s="16">
        <v>29</v>
      </c>
      <c r="D32" s="25" t="s">
        <v>2</v>
      </c>
      <c r="E32" s="19">
        <v>-2</v>
      </c>
      <c r="F32" s="19" t="s">
        <v>54</v>
      </c>
      <c r="G32" s="19">
        <f>SUMIFS($E$4:$E32,$D$4:$D32,$D32,$B$4:$B32,$B32)</f>
        <v>180</v>
      </c>
      <c r="H32" s="19"/>
      <c r="I32" s="19"/>
      <c r="J32" s="19"/>
      <c r="K32" s="19"/>
    </row>
    <row r="33" spans="1:11" x14ac:dyDescent="0.3">
      <c r="A33" s="17" t="str">
        <f>B33&amp;"-"&amp;C33</f>
        <v>Game 06.28.18-30</v>
      </c>
      <c r="B33" s="17" t="s">
        <v>50</v>
      </c>
      <c r="C33" s="16">
        <v>30</v>
      </c>
      <c r="D33" s="25" t="s">
        <v>3</v>
      </c>
      <c r="E33" s="19">
        <v>-4</v>
      </c>
      <c r="F33" s="19" t="s">
        <v>54</v>
      </c>
      <c r="G33" s="19">
        <f>SUMIFS($E$4:$E33,$D$4:$D33,$D33,$B$4:$B33,$B33)</f>
        <v>167</v>
      </c>
      <c r="H33" s="19"/>
      <c r="I33" s="19"/>
      <c r="J33" s="19"/>
      <c r="K33" s="19"/>
    </row>
    <row r="34" spans="1:11" x14ac:dyDescent="0.3">
      <c r="A34" s="17" t="str">
        <f>B34&amp;"-"&amp;C34</f>
        <v>Game 07.02.18-1</v>
      </c>
      <c r="B34" s="16" t="s">
        <v>55</v>
      </c>
      <c r="C34" s="17">
        <v>1</v>
      </c>
      <c r="D34" s="17" t="s">
        <v>3</v>
      </c>
      <c r="E34" s="19">
        <v>34</v>
      </c>
      <c r="F34" s="19" t="s">
        <v>53</v>
      </c>
      <c r="G34" s="19">
        <f>SUMIFS($E$4:$E34,$D$4:$D34,$D34,$B$4:$B34,$B34)</f>
        <v>34</v>
      </c>
      <c r="H34" s="19"/>
      <c r="I34" s="19"/>
      <c r="J34" s="19"/>
      <c r="K34" s="19"/>
    </row>
    <row r="35" spans="1:11" x14ac:dyDescent="0.3">
      <c r="A35" s="17" t="str">
        <f>B35&amp;"-"&amp;C35</f>
        <v>Game 07.02.18-2</v>
      </c>
      <c r="B35" s="16" t="s">
        <v>55</v>
      </c>
      <c r="C35" s="17">
        <v>2</v>
      </c>
      <c r="D35" s="17" t="s">
        <v>51</v>
      </c>
      <c r="E35" s="19">
        <v>32</v>
      </c>
      <c r="F35" s="19" t="s">
        <v>53</v>
      </c>
      <c r="G35" s="19">
        <f>SUMIFS($E$4:$E35,$D$4:$D35,$D35,$B$4:$B35,$B35)</f>
        <v>32</v>
      </c>
      <c r="H35" s="19"/>
      <c r="I35" s="19"/>
      <c r="J35" s="19"/>
      <c r="K35" s="19"/>
    </row>
    <row r="36" spans="1:11" x14ac:dyDescent="0.3">
      <c r="A36" s="17" t="str">
        <f>B36&amp;"-"&amp;C36</f>
        <v>Game 07.02.18-3</v>
      </c>
      <c r="B36" s="16" t="s">
        <v>55</v>
      </c>
      <c r="C36" s="17">
        <v>3</v>
      </c>
      <c r="D36" s="17" t="s">
        <v>52</v>
      </c>
      <c r="E36" s="19">
        <v>40</v>
      </c>
      <c r="F36" s="19" t="s">
        <v>53</v>
      </c>
      <c r="G36" s="19">
        <f>SUMIFS($E$4:$E36,$D$4:$D36,$D36,$B$4:$B36,$B36)</f>
        <v>40</v>
      </c>
      <c r="H36" s="19"/>
      <c r="I36" s="19"/>
      <c r="J36" s="19"/>
      <c r="K36" s="19"/>
    </row>
    <row r="37" spans="1:11" x14ac:dyDescent="0.3">
      <c r="A37" s="17" t="str">
        <f>B37&amp;"-"&amp;C37</f>
        <v>Game 07.02.18-4</v>
      </c>
      <c r="B37" s="16" t="s">
        <v>55</v>
      </c>
      <c r="C37" s="17">
        <v>4</v>
      </c>
      <c r="D37" s="17" t="s">
        <v>2</v>
      </c>
      <c r="E37" s="19">
        <v>11</v>
      </c>
      <c r="F37" s="19" t="s">
        <v>53</v>
      </c>
      <c r="G37" s="19">
        <f>SUMIFS($E$4:$E37,$D$4:$D37,$D37,$B$4:$B37,$B37)</f>
        <v>11</v>
      </c>
      <c r="H37" s="19"/>
      <c r="I37" s="19"/>
      <c r="J37" s="19"/>
      <c r="K37" s="19"/>
    </row>
    <row r="38" spans="1:11" x14ac:dyDescent="0.3">
      <c r="A38" s="17" t="str">
        <f>B38&amp;"-"&amp;C38</f>
        <v>Game 07.02.18-5</v>
      </c>
      <c r="B38" s="16" t="s">
        <v>55</v>
      </c>
      <c r="C38" s="17">
        <v>5</v>
      </c>
      <c r="D38" s="17" t="s">
        <v>3</v>
      </c>
      <c r="E38" s="19">
        <v>19</v>
      </c>
      <c r="F38" s="19" t="s">
        <v>53</v>
      </c>
      <c r="G38" s="19">
        <f>SUMIFS($E$4:$E38,$D$4:$D38,$D38,$B$4:$B38,$B38)</f>
        <v>53</v>
      </c>
      <c r="H38" s="19"/>
      <c r="I38" s="19"/>
      <c r="J38" s="19"/>
      <c r="K38" s="19"/>
    </row>
    <row r="39" spans="1:11" x14ac:dyDescent="0.3">
      <c r="A39" s="17" t="str">
        <f>B39&amp;"-"&amp;C39</f>
        <v>Game 07.02.18-6</v>
      </c>
      <c r="B39" s="16" t="s">
        <v>55</v>
      </c>
      <c r="C39" s="17">
        <v>6</v>
      </c>
      <c r="D39" s="17" t="s">
        <v>51</v>
      </c>
      <c r="E39" s="19">
        <v>32</v>
      </c>
      <c r="F39" s="19" t="s">
        <v>53</v>
      </c>
      <c r="G39" s="19">
        <f>SUMIFS($E$4:$E39,$D$4:$D39,$D39,$B$4:$B39,$B39)</f>
        <v>64</v>
      </c>
      <c r="H39" s="19"/>
      <c r="I39" s="19"/>
      <c r="J39" s="19"/>
      <c r="K39" s="19"/>
    </row>
    <row r="40" spans="1:11" x14ac:dyDescent="0.3">
      <c r="A40" s="17" t="str">
        <f>B40&amp;"-"&amp;C40</f>
        <v>Game 07.02.18-7</v>
      </c>
      <c r="B40" s="16" t="s">
        <v>55</v>
      </c>
      <c r="C40" s="17">
        <v>7</v>
      </c>
      <c r="D40" s="17" t="s">
        <v>52</v>
      </c>
      <c r="E40" s="19">
        <v>37</v>
      </c>
      <c r="F40" s="19" t="s">
        <v>53</v>
      </c>
      <c r="G40" s="19">
        <f>SUMIFS($E$4:$E40,$D$4:$D40,$D40,$B$4:$B40,$B40)</f>
        <v>77</v>
      </c>
      <c r="H40" s="19"/>
      <c r="I40" s="19"/>
      <c r="J40" s="19"/>
      <c r="K40" s="19"/>
    </row>
    <row r="41" spans="1:11" x14ac:dyDescent="0.3">
      <c r="A41" s="17" t="str">
        <f>B41&amp;"-"&amp;C41</f>
        <v>Game 07.02.18-8</v>
      </c>
      <c r="B41" s="16" t="s">
        <v>55</v>
      </c>
      <c r="C41" s="17">
        <v>8</v>
      </c>
      <c r="D41" s="17" t="s">
        <v>2</v>
      </c>
      <c r="E41" s="19">
        <v>27</v>
      </c>
      <c r="F41" s="19" t="s">
        <v>53</v>
      </c>
      <c r="G41" s="19">
        <f>SUMIFS($E$4:$E41,$D$4:$D41,$D41,$B$4:$B41,$B41)</f>
        <v>38</v>
      </c>
      <c r="H41" s="19"/>
      <c r="I41" s="19"/>
      <c r="J41" s="19"/>
      <c r="K41" s="19"/>
    </row>
    <row r="42" spans="1:11" x14ac:dyDescent="0.3">
      <c r="A42" s="17" t="str">
        <f>B42&amp;"-"&amp;C42</f>
        <v>Game 07.02.18-9</v>
      </c>
      <c r="B42" s="16" t="s">
        <v>55</v>
      </c>
      <c r="C42" s="17">
        <v>9</v>
      </c>
      <c r="D42" s="17" t="s">
        <v>3</v>
      </c>
      <c r="E42" s="19">
        <v>35</v>
      </c>
      <c r="F42" s="19" t="s">
        <v>53</v>
      </c>
      <c r="G42" s="19">
        <f>SUMIFS($E$4:$E42,$D$4:$D42,$D42,$B$4:$B42,$B42)</f>
        <v>88</v>
      </c>
      <c r="H42" s="19"/>
      <c r="I42" s="19"/>
      <c r="J42" s="19"/>
      <c r="K42" s="19"/>
    </row>
    <row r="43" spans="1:11" x14ac:dyDescent="0.3">
      <c r="A43" s="17" t="str">
        <f>B43&amp;"-"&amp;C43</f>
        <v>Game 07.02.18-10</v>
      </c>
      <c r="B43" s="16" t="s">
        <v>55</v>
      </c>
      <c r="C43" s="17">
        <v>10</v>
      </c>
      <c r="D43" s="17" t="s">
        <v>51</v>
      </c>
      <c r="E43" s="19">
        <v>35</v>
      </c>
      <c r="F43" s="19" t="s">
        <v>53</v>
      </c>
      <c r="G43" s="19">
        <f>SUMIFS($E$4:$E43,$D$4:$D43,$D43,$B$4:$B43,$B43)</f>
        <v>99</v>
      </c>
      <c r="H43" s="19"/>
      <c r="I43" s="19"/>
      <c r="J43" s="19"/>
      <c r="K43" s="19"/>
    </row>
    <row r="44" spans="1:11" x14ac:dyDescent="0.3">
      <c r="A44" s="17" t="str">
        <f>B44&amp;"-"&amp;C44</f>
        <v>Game 07.02.18-11</v>
      </c>
      <c r="B44" s="16" t="s">
        <v>55</v>
      </c>
      <c r="C44" s="17">
        <v>11</v>
      </c>
      <c r="D44" s="17" t="s">
        <v>52</v>
      </c>
      <c r="E44" s="19">
        <v>35</v>
      </c>
      <c r="F44" s="19" t="s">
        <v>53</v>
      </c>
      <c r="G44" s="19">
        <f>SUMIFS($E$4:$E44,$D$4:$D44,$D44,$B$4:$B44,$B44)</f>
        <v>112</v>
      </c>
      <c r="H44" s="19"/>
      <c r="I44" s="19"/>
      <c r="J44" s="19"/>
      <c r="K44" s="19"/>
    </row>
    <row r="45" spans="1:11" x14ac:dyDescent="0.3">
      <c r="A45" s="17" t="str">
        <f>B45&amp;"-"&amp;C45</f>
        <v>Game 07.02.18-12</v>
      </c>
      <c r="B45" s="16" t="s">
        <v>55</v>
      </c>
      <c r="C45" s="17">
        <v>12</v>
      </c>
      <c r="D45" s="17" t="s">
        <v>2</v>
      </c>
      <c r="E45" s="19">
        <v>40</v>
      </c>
      <c r="F45" s="19" t="s">
        <v>53</v>
      </c>
      <c r="G45" s="19">
        <f>SUMIFS($E$4:$E45,$D$4:$D45,$D45,$B$4:$B45,$B45)</f>
        <v>78</v>
      </c>
      <c r="H45" s="19"/>
      <c r="I45" s="19"/>
      <c r="J45" s="19"/>
      <c r="K45" s="19"/>
    </row>
    <row r="46" spans="1:11" x14ac:dyDescent="0.3">
      <c r="A46" s="17" t="str">
        <f>B46&amp;"-"&amp;C46</f>
        <v>Game 07.02.18-13</v>
      </c>
      <c r="B46" s="16" t="s">
        <v>55</v>
      </c>
      <c r="C46" s="17">
        <v>13</v>
      </c>
      <c r="D46" s="17" t="s">
        <v>3</v>
      </c>
      <c r="E46" s="19">
        <v>11</v>
      </c>
      <c r="F46" s="19" t="s">
        <v>53</v>
      </c>
      <c r="G46" s="19">
        <f>SUMIFS($E$4:$E46,$D$4:$D46,$D46,$B$4:$B46,$B46)</f>
        <v>99</v>
      </c>
      <c r="H46" s="19"/>
      <c r="I46" s="19"/>
      <c r="J46" s="19"/>
      <c r="K46" s="19"/>
    </row>
    <row r="47" spans="1:11" x14ac:dyDescent="0.3">
      <c r="A47" s="17" t="str">
        <f>B47&amp;"-"&amp;C47</f>
        <v>Game 07.02.18-14</v>
      </c>
      <c r="B47" s="16" t="s">
        <v>55</v>
      </c>
      <c r="C47" s="17">
        <v>14</v>
      </c>
      <c r="D47" s="17" t="s">
        <v>51</v>
      </c>
      <c r="E47" s="19">
        <v>39</v>
      </c>
      <c r="F47" s="19" t="s">
        <v>53</v>
      </c>
      <c r="G47" s="19">
        <f>SUMIFS($E$4:$E47,$D$4:$D47,$D47,$B$4:$B47,$B47)</f>
        <v>138</v>
      </c>
      <c r="H47" s="19"/>
      <c r="I47" s="19"/>
      <c r="J47" s="19"/>
      <c r="K47" s="19"/>
    </row>
    <row r="48" spans="1:11" x14ac:dyDescent="0.3">
      <c r="A48" s="17" t="str">
        <f>B48&amp;"-"&amp;C48</f>
        <v>Game 07.02.18-15</v>
      </c>
      <c r="B48" s="16" t="s">
        <v>55</v>
      </c>
      <c r="C48" s="17">
        <v>15</v>
      </c>
      <c r="D48" s="17" t="s">
        <v>52</v>
      </c>
      <c r="E48" s="19">
        <v>14</v>
      </c>
      <c r="F48" s="19" t="s">
        <v>53</v>
      </c>
      <c r="G48" s="19">
        <f>SUMIFS($E$4:$E48,$D$4:$D48,$D48,$B$4:$B48,$B48)</f>
        <v>126</v>
      </c>
      <c r="H48" s="19"/>
      <c r="I48" s="19"/>
      <c r="J48" s="19"/>
      <c r="K48" s="19"/>
    </row>
    <row r="49" spans="1:11" x14ac:dyDescent="0.3">
      <c r="A49" s="17" t="str">
        <f>B49&amp;"-"&amp;C49</f>
        <v>Game 07.02.18-16</v>
      </c>
      <c r="B49" s="16" t="s">
        <v>55</v>
      </c>
      <c r="C49" s="17">
        <v>16</v>
      </c>
      <c r="D49" s="17" t="s">
        <v>2</v>
      </c>
      <c r="E49" s="19">
        <v>34</v>
      </c>
      <c r="F49" s="19" t="s">
        <v>53</v>
      </c>
      <c r="G49" s="19">
        <f>SUMIFS($E$4:$E49,$D$4:$D49,$D49,$B$4:$B49,$B49)</f>
        <v>112</v>
      </c>
      <c r="H49" s="19"/>
      <c r="I49" s="19"/>
      <c r="J49" s="19"/>
      <c r="K49" s="19"/>
    </row>
    <row r="50" spans="1:11" x14ac:dyDescent="0.3">
      <c r="A50" s="17" t="str">
        <f>B50&amp;"-"&amp;C50</f>
        <v>Game 07.02.18-17</v>
      </c>
      <c r="B50" s="16" t="s">
        <v>55</v>
      </c>
      <c r="C50" s="17">
        <v>17</v>
      </c>
      <c r="D50" s="17" t="s">
        <v>3</v>
      </c>
      <c r="E50" s="19">
        <v>30</v>
      </c>
      <c r="F50" s="19" t="s">
        <v>53</v>
      </c>
      <c r="G50" s="19">
        <f>SUMIFS($E$4:$E50,$D$4:$D50,$D50,$B$4:$B50,$B50)</f>
        <v>129</v>
      </c>
      <c r="H50" s="19"/>
      <c r="I50" s="19"/>
      <c r="J50" s="19"/>
      <c r="K50" s="19"/>
    </row>
    <row r="51" spans="1:11" x14ac:dyDescent="0.3">
      <c r="A51" s="17" t="str">
        <f>B51&amp;"-"&amp;C51</f>
        <v>Game 07.02.18-18</v>
      </c>
      <c r="B51" s="16" t="s">
        <v>55</v>
      </c>
      <c r="C51" s="17">
        <v>18</v>
      </c>
      <c r="D51" s="17" t="s">
        <v>51</v>
      </c>
      <c r="E51" s="19">
        <v>11</v>
      </c>
      <c r="F51" s="19" t="s">
        <v>53</v>
      </c>
      <c r="G51" s="19">
        <f>SUMIFS($E$4:$E51,$D$4:$D51,$D51,$B$4:$B51,$B51)</f>
        <v>149</v>
      </c>
      <c r="H51" s="19"/>
      <c r="I51" s="19"/>
      <c r="J51" s="19"/>
      <c r="K51" s="19"/>
    </row>
    <row r="52" spans="1:11" x14ac:dyDescent="0.3">
      <c r="A52" s="17" t="str">
        <f>B52&amp;"-"&amp;C52</f>
        <v>Game 07.02.18-19</v>
      </c>
      <c r="B52" s="16" t="s">
        <v>55</v>
      </c>
      <c r="C52" s="17">
        <v>19</v>
      </c>
      <c r="D52" s="17" t="s">
        <v>52</v>
      </c>
      <c r="E52" s="19">
        <v>29</v>
      </c>
      <c r="F52" s="19" t="s">
        <v>53</v>
      </c>
      <c r="G52" s="19">
        <f>SUMIFS($E$4:$E52,$D$4:$D52,$D52,$B$4:$B52,$B52)</f>
        <v>155</v>
      </c>
      <c r="H52" s="19"/>
      <c r="I52" s="19"/>
      <c r="J52" s="19"/>
      <c r="K52" s="19"/>
    </row>
    <row r="53" spans="1:11" x14ac:dyDescent="0.3">
      <c r="A53" s="17" t="str">
        <f>B53&amp;"-"&amp;C53</f>
        <v>Game 07.02.18-20</v>
      </c>
      <c r="B53" s="16" t="s">
        <v>55</v>
      </c>
      <c r="C53" s="17">
        <v>20</v>
      </c>
      <c r="D53" s="17" t="s">
        <v>2</v>
      </c>
      <c r="E53" s="19">
        <v>40</v>
      </c>
      <c r="F53" s="19" t="s">
        <v>53</v>
      </c>
      <c r="G53" s="19">
        <f>SUMIFS($E$4:$E53,$D$4:$D53,$D53,$B$4:$B53,$B53)</f>
        <v>152</v>
      </c>
      <c r="H53" s="19"/>
      <c r="I53" s="19"/>
      <c r="J53" s="19"/>
      <c r="K53" s="19"/>
    </row>
    <row r="54" spans="1:11" x14ac:dyDescent="0.3">
      <c r="A54" s="17" t="str">
        <f>B54&amp;"-"&amp;C54</f>
        <v>Game 07.02.18-21</v>
      </c>
      <c r="B54" s="16" t="s">
        <v>55</v>
      </c>
      <c r="C54" s="17">
        <v>21</v>
      </c>
      <c r="D54" s="17" t="s">
        <v>3</v>
      </c>
      <c r="E54" s="19">
        <v>30</v>
      </c>
      <c r="F54" s="19" t="s">
        <v>53</v>
      </c>
      <c r="G54" s="19">
        <f>SUMIFS($E$4:$E54,$D$4:$D54,$D54,$B$4:$B54,$B54)</f>
        <v>159</v>
      </c>
      <c r="H54" s="19"/>
      <c r="I54" s="19"/>
      <c r="J54" s="19"/>
      <c r="K54" s="19"/>
    </row>
    <row r="55" spans="1:11" x14ac:dyDescent="0.3">
      <c r="A55" s="17" t="str">
        <f>B55&amp;"-"&amp;C55</f>
        <v>Game 07.02.18-22</v>
      </c>
      <c r="B55" s="16" t="s">
        <v>55</v>
      </c>
      <c r="C55" s="17">
        <v>22</v>
      </c>
      <c r="D55" s="17" t="s">
        <v>51</v>
      </c>
      <c r="E55" s="19">
        <v>24</v>
      </c>
      <c r="F55" s="19" t="s">
        <v>53</v>
      </c>
      <c r="G55" s="19">
        <f>SUMIFS($E$4:$E55,$D$4:$D55,$D55,$B$4:$B55,$B55)</f>
        <v>173</v>
      </c>
      <c r="H55" s="19"/>
      <c r="I55" s="19"/>
      <c r="J55" s="19"/>
      <c r="K55" s="19"/>
    </row>
    <row r="56" spans="1:11" x14ac:dyDescent="0.3">
      <c r="A56" s="17" t="str">
        <f>B56&amp;"-"&amp;C56</f>
        <v>Game 07.02.18-23</v>
      </c>
      <c r="B56" s="16" t="s">
        <v>55</v>
      </c>
      <c r="C56" s="17">
        <v>23</v>
      </c>
      <c r="D56" s="17" t="s">
        <v>52</v>
      </c>
      <c r="E56" s="19">
        <v>22</v>
      </c>
      <c r="F56" s="19" t="s">
        <v>53</v>
      </c>
      <c r="G56" s="19">
        <f>SUMIFS($E$4:$E56,$D$4:$D56,$D56,$B$4:$B56,$B56)</f>
        <v>177</v>
      </c>
      <c r="H56" s="19"/>
      <c r="I56" s="19"/>
      <c r="J56" s="19"/>
      <c r="K56" s="19"/>
    </row>
    <row r="57" spans="1:11" x14ac:dyDescent="0.3">
      <c r="A57" s="17" t="str">
        <f>B57&amp;"-"&amp;C57</f>
        <v>Game 07.02.18-24</v>
      </c>
      <c r="B57" s="16" t="s">
        <v>55</v>
      </c>
      <c r="C57" s="17">
        <v>24</v>
      </c>
      <c r="D57" s="17" t="s">
        <v>2</v>
      </c>
      <c r="E57" s="19">
        <v>19</v>
      </c>
      <c r="F57" s="19" t="s">
        <v>53</v>
      </c>
      <c r="G57" s="19">
        <f>SUMIFS($E$4:$E57,$D$4:$D57,$D57,$B$4:$B57,$B57)</f>
        <v>171</v>
      </c>
      <c r="H57" s="19"/>
      <c r="I57" s="19"/>
      <c r="J57" s="19"/>
      <c r="K57" s="19"/>
    </row>
    <row r="58" spans="1:11" x14ac:dyDescent="0.3">
      <c r="A58" s="17" t="str">
        <f>B58&amp;"-"&amp;C58</f>
        <v>Game 07.02.18-25</v>
      </c>
      <c r="B58" s="16" t="s">
        <v>55</v>
      </c>
      <c r="C58" s="17">
        <v>25</v>
      </c>
      <c r="D58" s="17" t="s">
        <v>3</v>
      </c>
      <c r="E58" s="19">
        <v>36</v>
      </c>
      <c r="F58" s="19" t="s">
        <v>53</v>
      </c>
      <c r="G58" s="19">
        <f>SUMIFS($E$4:$E58,$D$4:$D58,$D58,$B$4:$B58,$B58)</f>
        <v>195</v>
      </c>
      <c r="H58" s="19"/>
      <c r="I58" s="19"/>
      <c r="J58" s="19"/>
      <c r="K58" s="19"/>
    </row>
    <row r="59" spans="1:11" x14ac:dyDescent="0.3">
      <c r="A59" s="17" t="str">
        <f>B59&amp;"-"&amp;C59</f>
        <v>Game 07.02.18-26</v>
      </c>
      <c r="B59" s="16" t="s">
        <v>55</v>
      </c>
      <c r="C59" s="17">
        <v>26</v>
      </c>
      <c r="D59" s="17" t="s">
        <v>51</v>
      </c>
      <c r="E59" s="19">
        <v>21</v>
      </c>
      <c r="F59" s="19" t="s">
        <v>53</v>
      </c>
      <c r="G59" s="19">
        <f>SUMIFS($E$4:$E59,$D$4:$D59,$D59,$B$4:$B59,$B59)</f>
        <v>194</v>
      </c>
      <c r="H59" s="19"/>
      <c r="I59" s="19"/>
      <c r="J59" s="19"/>
      <c r="K59" s="19"/>
    </row>
    <row r="60" spans="1:11" x14ac:dyDescent="0.3">
      <c r="A60" s="17" t="str">
        <f>B60&amp;"-"&amp;C60</f>
        <v>Game 07.02.18-27</v>
      </c>
      <c r="B60" s="16" t="s">
        <v>55</v>
      </c>
      <c r="C60" s="17">
        <v>27</v>
      </c>
      <c r="D60" s="17" t="s">
        <v>52</v>
      </c>
      <c r="E60" s="19">
        <v>38</v>
      </c>
      <c r="F60" s="19" t="s">
        <v>53</v>
      </c>
      <c r="G60" s="19">
        <f>SUMIFS($E$4:$E60,$D$4:$D60,$D60,$B$4:$B60,$B60)</f>
        <v>215</v>
      </c>
      <c r="H60" s="19"/>
      <c r="I60" s="19"/>
      <c r="J60" s="19"/>
      <c r="K60" s="19"/>
    </row>
    <row r="61" spans="1:11" x14ac:dyDescent="0.3">
      <c r="A61" s="17" t="str">
        <f>B61&amp;"-"&amp;C61</f>
        <v>Game 07.02.18-28</v>
      </c>
      <c r="B61" s="16" t="s">
        <v>55</v>
      </c>
      <c r="C61" s="17">
        <v>28</v>
      </c>
      <c r="D61" s="17" t="s">
        <v>2</v>
      </c>
      <c r="E61" s="19">
        <v>32</v>
      </c>
      <c r="F61" s="19" t="s">
        <v>53</v>
      </c>
      <c r="G61" s="19">
        <f>SUMIFS($E$4:$E61,$D$4:$D61,$D61,$B$4:$B61,$B61)</f>
        <v>203</v>
      </c>
      <c r="H61" s="19"/>
      <c r="I61" s="19"/>
      <c r="J61" s="19"/>
      <c r="K61" s="19"/>
    </row>
    <row r="62" spans="1:11" x14ac:dyDescent="0.3">
      <c r="A62" s="17" t="str">
        <f>B62&amp;"-"&amp;C62</f>
        <v>Game 07.02.18-29</v>
      </c>
      <c r="B62" s="16" t="s">
        <v>55</v>
      </c>
      <c r="C62" s="17">
        <v>29</v>
      </c>
      <c r="D62" s="17" t="s">
        <v>3</v>
      </c>
      <c r="E62" s="19">
        <v>39</v>
      </c>
      <c r="F62" s="19" t="s">
        <v>53</v>
      </c>
      <c r="G62" s="19">
        <f>SUMIFS($E$4:$E62,$D$4:$D62,$D62,$B$4:$B62,$B62)</f>
        <v>234</v>
      </c>
      <c r="H62" s="19"/>
      <c r="I62" s="19"/>
      <c r="J62" s="19"/>
      <c r="K62" s="19"/>
    </row>
    <row r="63" spans="1:11" x14ac:dyDescent="0.3">
      <c r="A63" s="17" t="str">
        <f>B63&amp;"-"&amp;C63</f>
        <v>Game 07.02.18-30</v>
      </c>
      <c r="B63" s="16" t="s">
        <v>55</v>
      </c>
      <c r="C63" s="17">
        <v>30</v>
      </c>
      <c r="D63" s="17" t="s">
        <v>51</v>
      </c>
      <c r="E63" s="19">
        <v>27</v>
      </c>
      <c r="F63" s="19" t="s">
        <v>53</v>
      </c>
      <c r="G63" s="19">
        <f>SUMIFS($E$4:$E63,$D$4:$D63,$D63,$B$4:$B63,$B63)</f>
        <v>221</v>
      </c>
      <c r="H63" s="19"/>
      <c r="I63" s="19"/>
      <c r="J63" s="19"/>
      <c r="K63" s="19"/>
    </row>
    <row r="64" spans="1:11" x14ac:dyDescent="0.3">
      <c r="A64" s="17" t="str">
        <f>B64&amp;"-"&amp;C64</f>
        <v>Game 07.02.18-31</v>
      </c>
      <c r="B64" s="16" t="s">
        <v>55</v>
      </c>
      <c r="C64" s="17">
        <v>31</v>
      </c>
      <c r="D64" s="17" t="s">
        <v>52</v>
      </c>
      <c r="E64" s="19">
        <v>28</v>
      </c>
      <c r="F64" s="19" t="s">
        <v>53</v>
      </c>
      <c r="G64" s="19">
        <f>SUMIFS($E$4:$E64,$D$4:$D64,$D64,$B$4:$B64,$B64)</f>
        <v>243</v>
      </c>
      <c r="H64" s="19"/>
      <c r="I64" s="19"/>
      <c r="J64" s="19"/>
      <c r="K64" s="19"/>
    </row>
    <row r="65" spans="1:11" x14ac:dyDescent="0.3">
      <c r="A65" s="17" t="str">
        <f>B65&amp;"-"&amp;C65</f>
        <v>Game 07.02.18-32</v>
      </c>
      <c r="B65" s="16" t="s">
        <v>55</v>
      </c>
      <c r="C65" s="17">
        <v>32</v>
      </c>
      <c r="D65" s="17" t="s">
        <v>2</v>
      </c>
      <c r="E65" s="19">
        <v>37</v>
      </c>
      <c r="F65" s="19" t="s">
        <v>53</v>
      </c>
      <c r="G65" s="19">
        <f>SUMIFS($E$4:$E65,$D$4:$D65,$D65,$B$4:$B65,$B65)</f>
        <v>240</v>
      </c>
      <c r="H65" s="19"/>
      <c r="I65" s="19"/>
      <c r="J65" s="19"/>
      <c r="K65" s="19"/>
    </row>
    <row r="66" spans="1:11" x14ac:dyDescent="0.3">
      <c r="A66" s="17" t="str">
        <f>B66&amp;"-"&amp;C66</f>
        <v>Game 07.02.18-33</v>
      </c>
      <c r="B66" s="16" t="s">
        <v>55</v>
      </c>
      <c r="C66" s="17">
        <v>33</v>
      </c>
      <c r="D66" s="17" t="s">
        <v>3</v>
      </c>
      <c r="E66" s="19">
        <v>-1</v>
      </c>
      <c r="F66" s="19" t="s">
        <v>54</v>
      </c>
      <c r="G66" s="19">
        <f>SUMIFS($E$4:$E66,$D$4:$D66,$D66,$B$4:$B66,$B66)</f>
        <v>233</v>
      </c>
      <c r="H66" s="19"/>
      <c r="I66" s="19"/>
      <c r="J66" s="19"/>
      <c r="K66" s="19"/>
    </row>
    <row r="67" spans="1:11" x14ac:dyDescent="0.3">
      <c r="A67" s="17" t="str">
        <f>B67&amp;"-"&amp;C67</f>
        <v>Game 07.02.18-34</v>
      </c>
      <c r="B67" s="16" t="s">
        <v>55</v>
      </c>
      <c r="C67" s="17">
        <v>34</v>
      </c>
      <c r="D67" s="17" t="s">
        <v>51</v>
      </c>
      <c r="E67" s="19">
        <v>-2</v>
      </c>
      <c r="F67" s="19" t="s">
        <v>54</v>
      </c>
      <c r="G67" s="19">
        <f>SUMIFS($E$4:$E67,$D$4:$D67,$D67,$B$4:$B67,$B67)</f>
        <v>219</v>
      </c>
      <c r="H67" s="19"/>
      <c r="I67" s="19"/>
      <c r="J67" s="19"/>
      <c r="K67" s="19"/>
    </row>
    <row r="68" spans="1:11" x14ac:dyDescent="0.3">
      <c r="A68" s="17" t="str">
        <f>B68&amp;"-"&amp;C68</f>
        <v>Game 07.02.18-35</v>
      </c>
      <c r="B68" s="16" t="s">
        <v>55</v>
      </c>
      <c r="C68" s="17">
        <v>35</v>
      </c>
      <c r="D68" s="17" t="s">
        <v>52</v>
      </c>
      <c r="E68" s="19">
        <v>-3</v>
      </c>
      <c r="F68" s="19" t="s">
        <v>54</v>
      </c>
      <c r="G68" s="19">
        <f>SUMIFS($E$4:$E68,$D$4:$D68,$D68,$B$4:$B68,$B68)</f>
        <v>240</v>
      </c>
      <c r="H68" s="19"/>
      <c r="I68" s="19"/>
      <c r="J68" s="19"/>
      <c r="K68" s="19"/>
    </row>
    <row r="69" spans="1:11" x14ac:dyDescent="0.3">
      <c r="A69" t="str">
        <f>B69&amp;"-"&amp;C69</f>
        <v>Game 07.11.18-1</v>
      </c>
      <c r="B69" s="6" t="s">
        <v>58</v>
      </c>
      <c r="C69">
        <v>1</v>
      </c>
      <c r="D69" t="s">
        <v>3</v>
      </c>
      <c r="E69" s="24">
        <v>34</v>
      </c>
      <c r="F69" s="24" t="s">
        <v>53</v>
      </c>
      <c r="G69" s="24">
        <f>SUMIFS($E$4:$E69,$D$4:$D69,$D69,$B$4:$B69,$B69)</f>
        <v>34</v>
      </c>
      <c r="H69" s="24"/>
      <c r="I69" s="24"/>
      <c r="J69" s="24"/>
      <c r="K69" s="20"/>
    </row>
    <row r="70" spans="1:11" x14ac:dyDescent="0.3">
      <c r="A70" t="str">
        <f>B70&amp;"-"&amp;C70</f>
        <v>Game 07.11.18-2</v>
      </c>
      <c r="B70" s="6" t="s">
        <v>58</v>
      </c>
      <c r="C70">
        <v>2</v>
      </c>
      <c r="D70" t="s">
        <v>51</v>
      </c>
      <c r="E70" s="24">
        <v>32</v>
      </c>
      <c r="F70" s="24" t="s">
        <v>53</v>
      </c>
      <c r="G70" s="24">
        <f>SUMIFS($E$4:$E70,$D$4:$D70,$D70,$B$4:$B70,$B70)</f>
        <v>32</v>
      </c>
      <c r="H70" s="24"/>
      <c r="I70" s="24"/>
      <c r="J70" s="24"/>
      <c r="K70" s="20"/>
    </row>
    <row r="71" spans="1:11" x14ac:dyDescent="0.3">
      <c r="A71" t="str">
        <f>B71&amp;"-"&amp;C71</f>
        <v>Game 07.11.18-3</v>
      </c>
      <c r="B71" s="6" t="s">
        <v>58</v>
      </c>
      <c r="C71">
        <v>3</v>
      </c>
      <c r="D71" t="s">
        <v>52</v>
      </c>
      <c r="E71" s="24">
        <v>40</v>
      </c>
      <c r="F71" s="24" t="s">
        <v>53</v>
      </c>
      <c r="G71" s="24">
        <f>SUMIFS($E$4:$E71,$D$4:$D71,$D71,$B$4:$B71,$B71)</f>
        <v>40</v>
      </c>
      <c r="H71" s="24"/>
      <c r="I71" s="24"/>
      <c r="J71" s="24"/>
      <c r="K71" s="20"/>
    </row>
    <row r="72" spans="1:11" x14ac:dyDescent="0.3">
      <c r="A72" t="str">
        <f>B72&amp;"-"&amp;C72</f>
        <v>Game 07.11.18-4</v>
      </c>
      <c r="B72" s="6" t="s">
        <v>58</v>
      </c>
      <c r="C72">
        <v>4</v>
      </c>
      <c r="D72" t="s">
        <v>2</v>
      </c>
      <c r="E72" s="24">
        <v>11</v>
      </c>
      <c r="F72" s="24" t="s">
        <v>53</v>
      </c>
      <c r="G72" s="24">
        <f>SUMIFS($E$4:$E72,$D$4:$D72,$D72,$B$4:$B72,$B72)</f>
        <v>11</v>
      </c>
      <c r="H72" s="24"/>
      <c r="I72" s="24"/>
      <c r="J72" s="24"/>
      <c r="K72" s="20"/>
    </row>
    <row r="73" spans="1:11" x14ac:dyDescent="0.3">
      <c r="A73" t="str">
        <f>B73&amp;"-"&amp;C73</f>
        <v>Game 07.11.18-5</v>
      </c>
      <c r="B73" s="6" t="s">
        <v>58</v>
      </c>
      <c r="C73">
        <v>5</v>
      </c>
      <c r="D73" t="s">
        <v>3</v>
      </c>
      <c r="E73" s="24">
        <v>19</v>
      </c>
      <c r="F73" s="24" t="s">
        <v>53</v>
      </c>
      <c r="G73" s="24">
        <f>SUMIFS($E$4:$E73,$D$4:$D73,$D73,$B$4:$B73,$B73)</f>
        <v>53</v>
      </c>
      <c r="H73" s="24"/>
      <c r="I73" s="24"/>
      <c r="J73" s="24"/>
      <c r="K73" s="20"/>
    </row>
    <row r="74" spans="1:11" x14ac:dyDescent="0.3">
      <c r="A74" t="str">
        <f>B74&amp;"-"&amp;C74</f>
        <v>Game 07.11.18-6</v>
      </c>
      <c r="B74" s="6" t="s">
        <v>58</v>
      </c>
      <c r="C74">
        <v>6</v>
      </c>
      <c r="D74" t="s">
        <v>51</v>
      </c>
      <c r="E74" s="24">
        <v>32</v>
      </c>
      <c r="F74" s="24" t="s">
        <v>53</v>
      </c>
      <c r="G74" s="24">
        <f>SUMIFS($E$4:$E74,$D$4:$D74,$D74,$B$4:$B74,$B74)</f>
        <v>64</v>
      </c>
      <c r="H74" s="24"/>
      <c r="I74" s="24"/>
      <c r="J74" s="24"/>
      <c r="K74" s="20"/>
    </row>
    <row r="75" spans="1:11" x14ac:dyDescent="0.3">
      <c r="A75" t="str">
        <f>B75&amp;"-"&amp;C75</f>
        <v>Game 07.11.18-7</v>
      </c>
      <c r="B75" s="6" t="s">
        <v>58</v>
      </c>
      <c r="C75">
        <v>7</v>
      </c>
      <c r="D75" t="s">
        <v>52</v>
      </c>
      <c r="E75" s="24">
        <v>37</v>
      </c>
      <c r="F75" s="24" t="s">
        <v>53</v>
      </c>
      <c r="G75" s="24">
        <f>SUMIFS($E$4:$E75,$D$4:$D75,$D75,$B$4:$B75,$B75)</f>
        <v>77</v>
      </c>
      <c r="H75" s="24"/>
      <c r="I75" s="24"/>
      <c r="J75" s="24"/>
      <c r="K75" s="20"/>
    </row>
    <row r="76" spans="1:11" x14ac:dyDescent="0.3">
      <c r="A76" t="str">
        <f>B76&amp;"-"&amp;C76</f>
        <v>Game 07.11.18-8</v>
      </c>
      <c r="B76" s="6" t="s">
        <v>58</v>
      </c>
      <c r="C76">
        <v>8</v>
      </c>
      <c r="D76" t="s">
        <v>2</v>
      </c>
      <c r="E76" s="24">
        <v>27</v>
      </c>
      <c r="F76" s="24" t="s">
        <v>53</v>
      </c>
      <c r="G76" s="24">
        <f>SUMIFS($E$4:$E76,$D$4:$D76,$D76,$B$4:$B76,$B76)</f>
        <v>38</v>
      </c>
      <c r="H76" s="24"/>
      <c r="I76" s="24"/>
      <c r="J76" s="24"/>
      <c r="K76" s="20"/>
    </row>
    <row r="77" spans="1:11" x14ac:dyDescent="0.3">
      <c r="A77" t="str">
        <f>B77&amp;"-"&amp;C77</f>
        <v>Game 07.11.18-9</v>
      </c>
      <c r="B77" s="6" t="s">
        <v>58</v>
      </c>
      <c r="C77">
        <v>9</v>
      </c>
      <c r="D77" t="s">
        <v>3</v>
      </c>
      <c r="E77" s="24">
        <v>35</v>
      </c>
      <c r="F77" s="24" t="s">
        <v>53</v>
      </c>
      <c r="G77" s="24">
        <f>SUMIFS($E$4:$E77,$D$4:$D77,$D77,$B$4:$B77,$B77)</f>
        <v>88</v>
      </c>
      <c r="H77" s="24"/>
      <c r="I77" s="24"/>
      <c r="J77" s="24"/>
      <c r="K77" s="20"/>
    </row>
    <row r="78" spans="1:11" x14ac:dyDescent="0.3">
      <c r="A78" t="str">
        <f>B78&amp;"-"&amp;C78</f>
        <v>Game 07.11.18-10</v>
      </c>
      <c r="B78" s="6" t="s">
        <v>58</v>
      </c>
      <c r="C78">
        <v>10</v>
      </c>
      <c r="D78" t="s">
        <v>51</v>
      </c>
      <c r="E78" s="24">
        <v>35</v>
      </c>
      <c r="F78" s="24" t="s">
        <v>53</v>
      </c>
      <c r="G78" s="24">
        <f>SUMIFS($E$4:$E78,$D$4:$D78,$D78,$B$4:$B78,$B78)</f>
        <v>99</v>
      </c>
      <c r="H78" s="24"/>
      <c r="I78" s="24"/>
      <c r="J78" s="24"/>
      <c r="K78" s="20"/>
    </row>
    <row r="79" spans="1:11" x14ac:dyDescent="0.3">
      <c r="A79" t="str">
        <f>B79&amp;"-"&amp;C79</f>
        <v>Game 07.11.18-11</v>
      </c>
      <c r="B79" s="6" t="s">
        <v>58</v>
      </c>
      <c r="C79">
        <v>11</v>
      </c>
      <c r="D79" t="s">
        <v>52</v>
      </c>
      <c r="E79" s="24">
        <v>35</v>
      </c>
      <c r="F79" s="24" t="s">
        <v>53</v>
      </c>
      <c r="G79" s="24">
        <f>SUMIFS($E$4:$E79,$D$4:$D79,$D79,$B$4:$B79,$B79)</f>
        <v>112</v>
      </c>
      <c r="H79" s="24"/>
      <c r="I79" s="24"/>
      <c r="J79" s="24"/>
      <c r="K79" s="20"/>
    </row>
    <row r="80" spans="1:11" x14ac:dyDescent="0.3">
      <c r="A80" t="str">
        <f>B80&amp;"-"&amp;C80</f>
        <v>Game 07.11.18-12</v>
      </c>
      <c r="B80" s="6" t="s">
        <v>58</v>
      </c>
      <c r="C80">
        <v>12</v>
      </c>
      <c r="D80" t="s">
        <v>2</v>
      </c>
      <c r="E80" s="24">
        <v>40</v>
      </c>
      <c r="F80" s="24" t="s">
        <v>53</v>
      </c>
      <c r="G80" s="24">
        <f>SUMIFS($E$4:$E80,$D$4:$D80,$D80,$B$4:$B80,$B80)</f>
        <v>78</v>
      </c>
      <c r="H80" s="24"/>
      <c r="I80" s="24"/>
      <c r="J80" s="24"/>
      <c r="K80" s="20"/>
    </row>
    <row r="81" spans="1:11" x14ac:dyDescent="0.3">
      <c r="A81" t="str">
        <f>B81&amp;"-"&amp;C81</f>
        <v>Game 07.11.18-13</v>
      </c>
      <c r="B81" s="6" t="s">
        <v>58</v>
      </c>
      <c r="C81">
        <v>13</v>
      </c>
      <c r="D81" t="s">
        <v>3</v>
      </c>
      <c r="E81" s="24">
        <v>11</v>
      </c>
      <c r="F81" s="24" t="s">
        <v>53</v>
      </c>
      <c r="G81" s="24">
        <f>SUMIFS($E$4:$E81,$D$4:$D81,$D81,$B$4:$B81,$B81)</f>
        <v>99</v>
      </c>
      <c r="H81" s="24"/>
      <c r="I81" s="24"/>
      <c r="J81" s="24"/>
      <c r="K81" s="20"/>
    </row>
    <row r="82" spans="1:11" x14ac:dyDescent="0.3">
      <c r="A82" t="str">
        <f>B82&amp;"-"&amp;C82</f>
        <v>Game 07.11.18-14</v>
      </c>
      <c r="B82" s="6" t="s">
        <v>58</v>
      </c>
      <c r="C82">
        <v>14</v>
      </c>
      <c r="D82" t="s">
        <v>51</v>
      </c>
      <c r="E82" s="24">
        <v>39</v>
      </c>
      <c r="F82" s="24" t="s">
        <v>53</v>
      </c>
      <c r="G82" s="24">
        <f>SUMIFS($E$4:$E82,$D$4:$D82,$D82,$B$4:$B82,$B82)</f>
        <v>138</v>
      </c>
      <c r="H82" s="24"/>
      <c r="I82" s="24"/>
      <c r="J82" s="24"/>
      <c r="K82" s="20"/>
    </row>
    <row r="83" spans="1:11" x14ac:dyDescent="0.3">
      <c r="A83" t="str">
        <f>B83&amp;"-"&amp;C83</f>
        <v>Game 07.11.18-15</v>
      </c>
      <c r="B83" s="6" t="s">
        <v>58</v>
      </c>
      <c r="C83">
        <v>15</v>
      </c>
      <c r="D83" t="s">
        <v>52</v>
      </c>
      <c r="E83" s="24">
        <v>14</v>
      </c>
      <c r="F83" s="24" t="s">
        <v>53</v>
      </c>
      <c r="G83" s="24">
        <f>SUMIFS($E$4:$E83,$D$4:$D83,$D83,$B$4:$B83,$B83)</f>
        <v>126</v>
      </c>
      <c r="H83" s="24"/>
      <c r="I83" s="24"/>
      <c r="J83" s="24"/>
      <c r="K83" s="20"/>
    </row>
    <row r="84" spans="1:11" x14ac:dyDescent="0.3">
      <c r="A84" t="str">
        <f>B84&amp;"-"&amp;C84</f>
        <v>Game 07.11.18-16</v>
      </c>
      <c r="B84" s="6" t="s">
        <v>58</v>
      </c>
      <c r="C84">
        <v>16</v>
      </c>
      <c r="D84" t="s">
        <v>2</v>
      </c>
      <c r="E84" s="24">
        <v>34</v>
      </c>
      <c r="F84" s="24" t="s">
        <v>53</v>
      </c>
      <c r="G84" s="24">
        <f>SUMIFS($E$4:$E84,$D$4:$D84,$D84,$B$4:$B84,$B84)</f>
        <v>112</v>
      </c>
      <c r="H84" s="24"/>
      <c r="I84" s="24"/>
      <c r="J84" s="24"/>
      <c r="K84" s="20"/>
    </row>
    <row r="85" spans="1:11" x14ac:dyDescent="0.3">
      <c r="A85" t="str">
        <f>B85&amp;"-"&amp;C85</f>
        <v>Game 07.11.18-17</v>
      </c>
      <c r="B85" s="6" t="s">
        <v>58</v>
      </c>
      <c r="C85">
        <v>17</v>
      </c>
      <c r="D85" t="s">
        <v>3</v>
      </c>
      <c r="E85" s="24">
        <v>30</v>
      </c>
      <c r="F85" s="24" t="s">
        <v>53</v>
      </c>
      <c r="G85" s="24">
        <f>SUMIFS($E$4:$E85,$D$4:$D85,$D85,$B$4:$B85,$B85)</f>
        <v>129</v>
      </c>
      <c r="H85" s="24"/>
      <c r="I85" s="24"/>
      <c r="J85" s="24"/>
      <c r="K85" s="20"/>
    </row>
    <row r="86" spans="1:11" x14ac:dyDescent="0.3">
      <c r="A86" t="str">
        <f>B86&amp;"-"&amp;C86</f>
        <v>Game 07.11.18-18</v>
      </c>
      <c r="B86" s="6" t="s">
        <v>58</v>
      </c>
      <c r="C86">
        <v>18</v>
      </c>
      <c r="D86" t="s">
        <v>51</v>
      </c>
      <c r="E86" s="24">
        <v>11</v>
      </c>
      <c r="F86" s="24" t="s">
        <v>53</v>
      </c>
      <c r="G86" s="24">
        <f>SUMIFS($E$4:$E86,$D$4:$D86,$D86,$B$4:$B86,$B86)</f>
        <v>149</v>
      </c>
      <c r="H86" s="24"/>
      <c r="I86" s="24"/>
      <c r="J86" s="24"/>
      <c r="K86" s="20"/>
    </row>
    <row r="87" spans="1:11" x14ac:dyDescent="0.3">
      <c r="A87" t="str">
        <f>B87&amp;"-"&amp;C87</f>
        <v>Game 07.11.18-19</v>
      </c>
      <c r="B87" s="6" t="s">
        <v>58</v>
      </c>
      <c r="C87">
        <v>19</v>
      </c>
      <c r="D87" t="s">
        <v>52</v>
      </c>
      <c r="E87" s="24">
        <v>29</v>
      </c>
      <c r="F87" s="24" t="s">
        <v>53</v>
      </c>
      <c r="G87" s="24">
        <f>SUMIFS($E$4:$E87,$D$4:$D87,$D87,$B$4:$B87,$B87)</f>
        <v>155</v>
      </c>
      <c r="H87" s="24"/>
      <c r="I87" s="24"/>
      <c r="J87" s="24"/>
      <c r="K87" s="20"/>
    </row>
    <row r="88" spans="1:11" x14ac:dyDescent="0.3">
      <c r="A88" t="str">
        <f>B88&amp;"-"&amp;C88</f>
        <v>Game 07.11.18-20</v>
      </c>
      <c r="B88" s="6" t="s">
        <v>58</v>
      </c>
      <c r="C88">
        <v>20</v>
      </c>
      <c r="D88" t="s">
        <v>2</v>
      </c>
      <c r="E88" s="24">
        <v>40</v>
      </c>
      <c r="F88" s="24" t="s">
        <v>53</v>
      </c>
      <c r="G88" s="24">
        <f>SUMIFS($E$4:$E88,$D$4:$D88,$D88,$B$4:$B88,$B88)</f>
        <v>152</v>
      </c>
      <c r="H88" s="24"/>
      <c r="I88" s="24"/>
      <c r="J88" s="24"/>
      <c r="K88" s="20"/>
    </row>
    <row r="89" spans="1:11" x14ac:dyDescent="0.3">
      <c r="A89" t="str">
        <f>B89&amp;"-"&amp;C89</f>
        <v>Game 07.11.18-21</v>
      </c>
      <c r="B89" s="6" t="s">
        <v>58</v>
      </c>
      <c r="C89">
        <v>21</v>
      </c>
      <c r="D89" t="s">
        <v>3</v>
      </c>
      <c r="E89" s="24">
        <v>30</v>
      </c>
      <c r="F89" s="24" t="s">
        <v>53</v>
      </c>
      <c r="G89" s="24">
        <f>SUMIFS($E$4:$E89,$D$4:$D89,$D89,$B$4:$B89,$B89)</f>
        <v>159</v>
      </c>
      <c r="H89" s="24"/>
      <c r="I89" s="24"/>
      <c r="J89" s="24"/>
      <c r="K89" s="20"/>
    </row>
    <row r="90" spans="1:11" x14ac:dyDescent="0.3">
      <c r="A90" t="str">
        <f>B90&amp;"-"&amp;C90</f>
        <v>Game 07.11.18-22</v>
      </c>
      <c r="B90" s="6" t="s">
        <v>58</v>
      </c>
      <c r="C90">
        <v>22</v>
      </c>
      <c r="D90" t="s">
        <v>51</v>
      </c>
      <c r="E90" s="24">
        <v>24</v>
      </c>
      <c r="F90" s="24" t="s">
        <v>53</v>
      </c>
      <c r="G90" s="24">
        <f>SUMIFS($E$4:$E90,$D$4:$D90,$D90,$B$4:$B90,$B90)</f>
        <v>173</v>
      </c>
      <c r="H90" s="24"/>
      <c r="I90" s="24"/>
      <c r="J90" s="24"/>
      <c r="K90" s="20"/>
    </row>
    <row r="91" spans="1:11" x14ac:dyDescent="0.3">
      <c r="A91" t="str">
        <f>B91&amp;"-"&amp;C91</f>
        <v>Game 07.11.18-23</v>
      </c>
      <c r="B91" s="6" t="s">
        <v>58</v>
      </c>
      <c r="C91">
        <v>23</v>
      </c>
      <c r="D91" t="s">
        <v>52</v>
      </c>
      <c r="E91" s="24">
        <v>22</v>
      </c>
      <c r="F91" s="24" t="s">
        <v>53</v>
      </c>
      <c r="G91" s="24">
        <f>SUMIFS($E$4:$E91,$D$4:$D91,$D91,$B$4:$B91,$B91)</f>
        <v>177</v>
      </c>
      <c r="H91" s="24"/>
      <c r="I91" s="24"/>
      <c r="J91" s="24"/>
      <c r="K91" s="20"/>
    </row>
    <row r="92" spans="1:11" x14ac:dyDescent="0.3">
      <c r="A92" t="str">
        <f>B92&amp;"-"&amp;C92</f>
        <v>Game 07.11.18-24</v>
      </c>
      <c r="B92" s="6" t="s">
        <v>58</v>
      </c>
      <c r="C92">
        <v>24</v>
      </c>
      <c r="D92" t="s">
        <v>2</v>
      </c>
      <c r="E92" s="24">
        <v>19</v>
      </c>
      <c r="F92" s="24" t="s">
        <v>53</v>
      </c>
      <c r="G92" s="24">
        <f>SUMIFS($E$4:$E92,$D$4:$D92,$D92,$B$4:$B92,$B92)</f>
        <v>171</v>
      </c>
      <c r="H92" s="24"/>
      <c r="I92" s="24"/>
      <c r="J92" s="24"/>
      <c r="K92" s="20"/>
    </row>
    <row r="93" spans="1:11" x14ac:dyDescent="0.3">
      <c r="A93" t="str">
        <f>B93&amp;"-"&amp;C93</f>
        <v>Game 07.11.18-25</v>
      </c>
      <c r="B93" s="6" t="s">
        <v>58</v>
      </c>
      <c r="C93">
        <v>25</v>
      </c>
      <c r="D93" t="s">
        <v>3</v>
      </c>
      <c r="E93" s="24">
        <v>36</v>
      </c>
      <c r="F93" s="24" t="s">
        <v>53</v>
      </c>
      <c r="G93" s="24">
        <f>SUMIFS($E$4:$E93,$D$4:$D93,$D93,$B$4:$B93,$B93)</f>
        <v>195</v>
      </c>
      <c r="H93" s="24"/>
      <c r="I93" s="24"/>
      <c r="J93" s="24"/>
      <c r="K93" s="20"/>
    </row>
    <row r="94" spans="1:11" x14ac:dyDescent="0.3">
      <c r="A94" t="str">
        <f>B94&amp;"-"&amp;C94</f>
        <v>Game 07.11.18-26</v>
      </c>
      <c r="B94" s="6" t="s">
        <v>58</v>
      </c>
      <c r="C94">
        <v>26</v>
      </c>
      <c r="D94" t="s">
        <v>51</v>
      </c>
      <c r="E94" s="24">
        <v>21</v>
      </c>
      <c r="F94" s="24" t="s">
        <v>53</v>
      </c>
      <c r="G94" s="24">
        <f>SUMIFS($E$4:$E94,$D$4:$D94,$D94,$B$4:$B94,$B94)</f>
        <v>194</v>
      </c>
      <c r="H94" s="24"/>
      <c r="I94" s="24"/>
      <c r="J94" s="24"/>
      <c r="K94" s="20"/>
    </row>
    <row r="95" spans="1:11" x14ac:dyDescent="0.3">
      <c r="A95" t="str">
        <f>B95&amp;"-"&amp;C95</f>
        <v>Game 07.11.18-27</v>
      </c>
      <c r="B95" s="6" t="s">
        <v>58</v>
      </c>
      <c r="C95">
        <v>27</v>
      </c>
      <c r="D95" t="s">
        <v>52</v>
      </c>
      <c r="E95" s="24">
        <v>38</v>
      </c>
      <c r="F95" s="24" t="s">
        <v>53</v>
      </c>
      <c r="G95" s="24">
        <f>SUMIFS($E$4:$E95,$D$4:$D95,$D95,$B$4:$B95,$B95)</f>
        <v>215</v>
      </c>
      <c r="H95" s="24"/>
      <c r="I95" s="24"/>
      <c r="J95" s="24"/>
      <c r="K95" s="20"/>
    </row>
    <row r="96" spans="1:11" x14ac:dyDescent="0.3">
      <c r="A96" t="str">
        <f>B96&amp;"-"&amp;C96</f>
        <v>Game 07.11.18-28</v>
      </c>
      <c r="B96" s="6" t="s">
        <v>58</v>
      </c>
      <c r="C96">
        <v>28</v>
      </c>
      <c r="D96" t="s">
        <v>2</v>
      </c>
      <c r="E96" s="24">
        <v>32</v>
      </c>
      <c r="F96" s="24" t="s">
        <v>53</v>
      </c>
      <c r="G96" s="24">
        <f>SUMIFS($E$4:$E96,$D$4:$D96,$D96,$B$4:$B96,$B96)</f>
        <v>203</v>
      </c>
      <c r="H96" s="24"/>
      <c r="I96" s="24"/>
      <c r="J96" s="24"/>
      <c r="K96" s="20"/>
    </row>
    <row r="97" spans="1:11" x14ac:dyDescent="0.3">
      <c r="A97" t="str">
        <f>B97&amp;"-"&amp;C97</f>
        <v>Game 07.11.18-29</v>
      </c>
      <c r="B97" s="6" t="s">
        <v>58</v>
      </c>
      <c r="C97">
        <v>29</v>
      </c>
      <c r="D97" t="s">
        <v>3</v>
      </c>
      <c r="E97" s="24">
        <v>39</v>
      </c>
      <c r="F97" s="24" t="s">
        <v>53</v>
      </c>
      <c r="G97" s="24">
        <f>SUMIFS($E$4:$E97,$D$4:$D97,$D97,$B$4:$B97,$B97)</f>
        <v>234</v>
      </c>
      <c r="H97" s="24"/>
      <c r="I97" s="24"/>
      <c r="J97" s="24"/>
      <c r="K97" s="20"/>
    </row>
    <row r="98" spans="1:11" x14ac:dyDescent="0.3">
      <c r="A98" t="str">
        <f>B98&amp;"-"&amp;C98</f>
        <v>Game 07.11.18-30</v>
      </c>
      <c r="B98" s="6" t="s">
        <v>58</v>
      </c>
      <c r="C98">
        <v>30</v>
      </c>
      <c r="D98" t="s">
        <v>51</v>
      </c>
      <c r="E98" s="24">
        <v>27</v>
      </c>
      <c r="F98" s="24" t="s">
        <v>53</v>
      </c>
      <c r="G98" s="24">
        <f>SUMIFS($E$4:$E98,$D$4:$D98,$D98,$B$4:$B98,$B98)</f>
        <v>221</v>
      </c>
      <c r="H98" s="24"/>
      <c r="I98" s="24"/>
      <c r="J98" s="24"/>
      <c r="K98" s="20"/>
    </row>
    <row r="99" spans="1:11" x14ac:dyDescent="0.3">
      <c r="A99" t="str">
        <f>B99&amp;"-"&amp;C99</f>
        <v>Game 07.11.18-31</v>
      </c>
      <c r="B99" s="6" t="s">
        <v>58</v>
      </c>
      <c r="C99">
        <v>31</v>
      </c>
      <c r="D99" t="s">
        <v>52</v>
      </c>
      <c r="E99" s="24">
        <v>28</v>
      </c>
      <c r="F99" s="24" t="s">
        <v>53</v>
      </c>
      <c r="G99" s="24">
        <f>SUMIFS($E$4:$E99,$D$4:$D99,$D99,$B$4:$B99,$B99)</f>
        <v>243</v>
      </c>
      <c r="H99" s="24"/>
      <c r="I99" s="24"/>
      <c r="J99" s="24"/>
      <c r="K99" s="20"/>
    </row>
    <row r="100" spans="1:11" x14ac:dyDescent="0.3">
      <c r="A100" t="str">
        <f>B100&amp;"-"&amp;C100</f>
        <v>Game 07.11.18-32</v>
      </c>
      <c r="B100" s="6" t="s">
        <v>58</v>
      </c>
      <c r="C100">
        <v>32</v>
      </c>
      <c r="D100" t="s">
        <v>2</v>
      </c>
      <c r="E100" s="24">
        <v>37</v>
      </c>
      <c r="F100" s="24" t="s">
        <v>53</v>
      </c>
      <c r="G100" s="24">
        <f>SUMIFS($E$4:$E100,$D$4:$D100,$D100,$B$4:$B100,$B100)</f>
        <v>240</v>
      </c>
      <c r="H100" s="24"/>
      <c r="I100" s="24"/>
      <c r="J100" s="24"/>
      <c r="K100" s="20"/>
    </row>
    <row r="101" spans="1:11" x14ac:dyDescent="0.3">
      <c r="A101" t="str">
        <f>B101&amp;"-"&amp;C101</f>
        <v>Game 07.11.18-33</v>
      </c>
      <c r="B101" s="6" t="s">
        <v>58</v>
      </c>
      <c r="C101">
        <v>33</v>
      </c>
      <c r="D101" t="s">
        <v>3</v>
      </c>
      <c r="E101" s="24">
        <v>-1</v>
      </c>
      <c r="F101" s="24" t="s">
        <v>54</v>
      </c>
      <c r="G101" s="24">
        <f>SUMIFS($E$4:$E101,$D$4:$D101,$D101,$B$4:$B101,$B101)</f>
        <v>233</v>
      </c>
      <c r="H101" s="24"/>
      <c r="I101" s="24"/>
      <c r="J101" s="24"/>
      <c r="K101" s="20"/>
    </row>
    <row r="102" spans="1:11" x14ac:dyDescent="0.3">
      <c r="A102" t="str">
        <f>B102&amp;"-"&amp;C102</f>
        <v>Game 07.11.18-34</v>
      </c>
      <c r="B102" s="6" t="s">
        <v>58</v>
      </c>
      <c r="C102">
        <v>34</v>
      </c>
      <c r="D102" t="s">
        <v>51</v>
      </c>
      <c r="E102" s="24">
        <v>-2</v>
      </c>
      <c r="F102" s="24" t="s">
        <v>54</v>
      </c>
      <c r="G102" s="24">
        <f>SUMIFS($E$4:$E102,$D$4:$D102,$D102,$B$4:$B102,$B102)</f>
        <v>219</v>
      </c>
      <c r="H102" s="24"/>
      <c r="I102" s="24"/>
      <c r="J102" s="24"/>
      <c r="K102" s="20"/>
    </row>
    <row r="103" spans="1:11" x14ac:dyDescent="0.3">
      <c r="A103" t="str">
        <f>B103&amp;"-"&amp;C103</f>
        <v>Game 07.11.18-35</v>
      </c>
      <c r="B103" s="6" t="s">
        <v>58</v>
      </c>
      <c r="C103">
        <v>35</v>
      </c>
      <c r="D103" t="s">
        <v>52</v>
      </c>
      <c r="E103" s="24">
        <v>-3</v>
      </c>
      <c r="F103" s="24" t="s">
        <v>54</v>
      </c>
      <c r="G103" s="24">
        <f>SUMIFS($E$4:$E103,$D$4:$D103,$D103,$B$4:$B103,$B103)</f>
        <v>240</v>
      </c>
      <c r="H103" s="24"/>
      <c r="I103" s="24"/>
      <c r="J103" s="24"/>
      <c r="K103" s="20"/>
    </row>
    <row r="104" spans="1:11" x14ac:dyDescent="0.3">
      <c r="A104" t="str">
        <f>B104&amp;"-"&amp;C104</f>
        <v>Game 07.27.18-1</v>
      </c>
      <c r="B104" s="19" t="s">
        <v>59</v>
      </c>
      <c r="C104">
        <v>1</v>
      </c>
      <c r="D104" t="s">
        <v>3</v>
      </c>
      <c r="E104" s="24">
        <v>21</v>
      </c>
      <c r="F104" s="24" t="s">
        <v>53</v>
      </c>
      <c r="G104" s="24">
        <f>SUMIFS($E$4:$E104,$D$4:$D104,$D104,$B$4:$B104,$B104)</f>
        <v>21</v>
      </c>
      <c r="H104" s="24"/>
      <c r="I104" s="24"/>
      <c r="J104" s="24"/>
      <c r="K104" s="24"/>
    </row>
    <row r="105" spans="1:11" x14ac:dyDescent="0.3">
      <c r="A105" t="str">
        <f>B105&amp;"-"&amp;C105</f>
        <v>Game 07.27.18-2</v>
      </c>
      <c r="B105" s="6" t="s">
        <v>59</v>
      </c>
      <c r="C105">
        <v>2</v>
      </c>
      <c r="D105" t="s">
        <v>51</v>
      </c>
      <c r="E105" s="24">
        <v>16</v>
      </c>
      <c r="F105" s="24" t="s">
        <v>53</v>
      </c>
      <c r="G105" s="24">
        <f>SUMIFS($E$4:$E105,$D$4:$D105,$D105,$B$4:$B105,$B105)</f>
        <v>16</v>
      </c>
      <c r="H105" s="24"/>
      <c r="I105" s="24"/>
      <c r="J105" s="24"/>
      <c r="K105" s="24"/>
    </row>
    <row r="106" spans="1:11" x14ac:dyDescent="0.3">
      <c r="A106" t="str">
        <f>B106&amp;"-"&amp;C106</f>
        <v>Game 07.27.18-3</v>
      </c>
      <c r="B106" s="6" t="s">
        <v>59</v>
      </c>
      <c r="C106">
        <v>3</v>
      </c>
      <c r="D106" t="s">
        <v>52</v>
      </c>
      <c r="E106" s="24">
        <v>34</v>
      </c>
      <c r="F106" s="24" t="s">
        <v>53</v>
      </c>
      <c r="G106" s="24">
        <f>SUMIFS($E$4:$E106,$D$4:$D106,$D106,$B$4:$B106,$B106)</f>
        <v>34</v>
      </c>
      <c r="H106" s="24"/>
      <c r="I106" s="24"/>
      <c r="J106" s="24"/>
      <c r="K106" s="24"/>
    </row>
    <row r="107" spans="1:11" x14ac:dyDescent="0.3">
      <c r="A107" t="str">
        <f>B107&amp;"-"&amp;C107</f>
        <v>Game 07.27.18-4</v>
      </c>
      <c r="B107" s="6" t="s">
        <v>59</v>
      </c>
      <c r="C107">
        <v>4</v>
      </c>
      <c r="D107" t="s">
        <v>2</v>
      </c>
      <c r="E107" s="24">
        <v>29</v>
      </c>
      <c r="F107" s="24" t="s">
        <v>53</v>
      </c>
      <c r="G107" s="24">
        <f>SUMIFS($E$4:$E107,$D$4:$D107,$D107,$B$4:$B107,$B107)</f>
        <v>29</v>
      </c>
      <c r="H107" s="24"/>
      <c r="I107" s="24"/>
      <c r="J107" s="24"/>
      <c r="K107" s="24"/>
    </row>
    <row r="108" spans="1:11" x14ac:dyDescent="0.3">
      <c r="A108" t="str">
        <f>B108&amp;"-"&amp;C108</f>
        <v>Game 07.27.18-5</v>
      </c>
      <c r="B108" s="6" t="s">
        <v>59</v>
      </c>
      <c r="C108">
        <v>5</v>
      </c>
      <c r="D108" t="s">
        <v>3</v>
      </c>
      <c r="E108" s="24">
        <v>21</v>
      </c>
      <c r="F108" s="24" t="s">
        <v>53</v>
      </c>
      <c r="G108" s="24">
        <f>SUMIFS($E$4:$E108,$D$4:$D108,$D108,$B$4:$B108,$B108)</f>
        <v>42</v>
      </c>
      <c r="H108" s="24"/>
      <c r="I108" s="24"/>
      <c r="J108" s="24"/>
      <c r="K108" s="24"/>
    </row>
    <row r="109" spans="1:11" x14ac:dyDescent="0.3">
      <c r="A109" t="str">
        <f>B109&amp;"-"&amp;C109</f>
        <v>Game 07.27.18-6</v>
      </c>
      <c r="B109" s="6" t="s">
        <v>59</v>
      </c>
      <c r="C109">
        <v>6</v>
      </c>
      <c r="D109" t="s">
        <v>51</v>
      </c>
      <c r="E109" s="24">
        <v>33</v>
      </c>
      <c r="F109" s="24" t="s">
        <v>53</v>
      </c>
      <c r="G109" s="24">
        <f>SUMIFS($E$4:$E109,$D$4:$D109,$D109,$B$4:$B109,$B109)</f>
        <v>49</v>
      </c>
      <c r="H109" s="24"/>
      <c r="I109" s="24"/>
      <c r="J109" s="24"/>
      <c r="K109" s="24"/>
    </row>
    <row r="110" spans="1:11" x14ac:dyDescent="0.3">
      <c r="A110" t="str">
        <f>B110&amp;"-"&amp;C110</f>
        <v>Game 07.27.18-7</v>
      </c>
      <c r="B110" s="6" t="s">
        <v>59</v>
      </c>
      <c r="C110">
        <v>7</v>
      </c>
      <c r="D110" t="s">
        <v>52</v>
      </c>
      <c r="E110" s="24">
        <v>17</v>
      </c>
      <c r="F110" s="24" t="s">
        <v>53</v>
      </c>
      <c r="G110" s="24">
        <f>SUMIFS($E$4:$E110,$D$4:$D110,$D110,$B$4:$B110,$B110)</f>
        <v>51</v>
      </c>
      <c r="H110" s="24"/>
      <c r="I110" s="24"/>
      <c r="J110" s="24"/>
      <c r="K110" s="24"/>
    </row>
    <row r="111" spans="1:11" x14ac:dyDescent="0.3">
      <c r="A111" t="str">
        <f>B111&amp;"-"&amp;C111</f>
        <v>Game 07.27.18-8</v>
      </c>
      <c r="B111" s="6" t="s">
        <v>59</v>
      </c>
      <c r="C111">
        <v>8</v>
      </c>
      <c r="D111" t="s">
        <v>2</v>
      </c>
      <c r="E111" s="24">
        <v>17</v>
      </c>
      <c r="F111" s="24" t="s">
        <v>53</v>
      </c>
      <c r="G111" s="24">
        <f>SUMIFS($E$4:$E111,$D$4:$D111,$D111,$B$4:$B111,$B111)</f>
        <v>46</v>
      </c>
      <c r="H111" s="24"/>
      <c r="I111" s="24"/>
      <c r="J111" s="24"/>
      <c r="K111" s="24"/>
    </row>
    <row r="112" spans="1:11" x14ac:dyDescent="0.3">
      <c r="A112" t="str">
        <f>B112&amp;"-"&amp;C112</f>
        <v>Game 07.27.18-9</v>
      </c>
      <c r="B112" s="6" t="s">
        <v>59</v>
      </c>
      <c r="C112">
        <v>9</v>
      </c>
      <c r="D112" t="s">
        <v>3</v>
      </c>
      <c r="E112" s="24">
        <v>9</v>
      </c>
      <c r="F112" s="24" t="s">
        <v>53</v>
      </c>
      <c r="G112" s="24">
        <f>SUMIFS($E$4:$E112,$D$4:$D112,$D112,$B$4:$B112,$B112)</f>
        <v>51</v>
      </c>
      <c r="H112" s="24"/>
      <c r="I112" s="24"/>
      <c r="J112" s="24"/>
      <c r="K112" s="24"/>
    </row>
    <row r="113" spans="1:11" x14ac:dyDescent="0.3">
      <c r="A113" t="str">
        <f>B113&amp;"-"&amp;C113</f>
        <v>Game 07.27.18-10</v>
      </c>
      <c r="B113" s="6" t="s">
        <v>59</v>
      </c>
      <c r="C113">
        <v>10</v>
      </c>
      <c r="D113" t="s">
        <v>51</v>
      </c>
      <c r="E113" s="24">
        <v>9</v>
      </c>
      <c r="F113" s="24" t="s">
        <v>53</v>
      </c>
      <c r="G113" s="24">
        <f>SUMIFS($E$4:$E113,$D$4:$D113,$D113,$B$4:$B113,$B113)</f>
        <v>58</v>
      </c>
      <c r="H113" s="24"/>
      <c r="I113" s="24"/>
      <c r="J113" s="24"/>
      <c r="K113" s="24"/>
    </row>
    <row r="114" spans="1:11" x14ac:dyDescent="0.3">
      <c r="A114" t="str">
        <f>B114&amp;"-"&amp;C114</f>
        <v>Game 07.27.18-11</v>
      </c>
      <c r="B114" s="6" t="s">
        <v>59</v>
      </c>
      <c r="C114">
        <v>11</v>
      </c>
      <c r="D114" t="s">
        <v>52</v>
      </c>
      <c r="E114" s="24">
        <v>17</v>
      </c>
      <c r="F114" s="24" t="s">
        <v>53</v>
      </c>
      <c r="G114" s="24">
        <f>SUMIFS($E$4:$E114,$D$4:$D114,$D114,$B$4:$B114,$B114)</f>
        <v>68</v>
      </c>
      <c r="H114" s="24"/>
      <c r="I114" s="24"/>
      <c r="J114" s="24"/>
      <c r="K114" s="24"/>
    </row>
    <row r="115" spans="1:11" x14ac:dyDescent="0.3">
      <c r="A115" t="str">
        <f>B115&amp;"-"&amp;C115</f>
        <v>Game 07.27.18-12</v>
      </c>
      <c r="B115" s="6" t="s">
        <v>59</v>
      </c>
      <c r="C115">
        <v>12</v>
      </c>
      <c r="D115" t="s">
        <v>2</v>
      </c>
      <c r="E115" s="24">
        <v>16</v>
      </c>
      <c r="F115" s="24" t="s">
        <v>53</v>
      </c>
      <c r="G115" s="24">
        <f>SUMIFS($E$4:$E115,$D$4:$D115,$D115,$B$4:$B115,$B115)</f>
        <v>62</v>
      </c>
      <c r="H115" s="24"/>
      <c r="I115" s="24"/>
      <c r="J115" s="24"/>
      <c r="K115" s="24"/>
    </row>
    <row r="116" spans="1:11" x14ac:dyDescent="0.3">
      <c r="A116" t="str">
        <f>B116&amp;"-"&amp;C116</f>
        <v>Game 07.27.18-13</v>
      </c>
      <c r="B116" s="6" t="s">
        <v>59</v>
      </c>
      <c r="C116">
        <v>13</v>
      </c>
      <c r="D116" t="s">
        <v>3</v>
      </c>
      <c r="E116" s="24">
        <v>26</v>
      </c>
      <c r="F116" s="24" t="s">
        <v>53</v>
      </c>
      <c r="G116" s="24">
        <f>SUMIFS($E$4:$E116,$D$4:$D116,$D116,$B$4:$B116,$B116)</f>
        <v>77</v>
      </c>
      <c r="H116" s="24"/>
      <c r="I116" s="24"/>
      <c r="J116" s="24"/>
      <c r="K116" s="24"/>
    </row>
    <row r="117" spans="1:11" x14ac:dyDescent="0.3">
      <c r="A117" t="str">
        <f>B117&amp;"-"&amp;C117</f>
        <v>Game 07.27.18-14</v>
      </c>
      <c r="B117" s="6" t="s">
        <v>59</v>
      </c>
      <c r="C117">
        <v>14</v>
      </c>
      <c r="D117" t="s">
        <v>51</v>
      </c>
      <c r="E117" s="24">
        <v>40</v>
      </c>
      <c r="F117" s="24" t="s">
        <v>53</v>
      </c>
      <c r="G117" s="24">
        <f>SUMIFS($E$4:$E117,$D$4:$D117,$D117,$B$4:$B117,$B117)</f>
        <v>98</v>
      </c>
      <c r="H117" s="24"/>
      <c r="I117" s="24"/>
      <c r="J117" s="24"/>
      <c r="K117" s="24"/>
    </row>
    <row r="118" spans="1:11" x14ac:dyDescent="0.3">
      <c r="A118" t="str">
        <f>B118&amp;"-"&amp;C118</f>
        <v>Game 07.27.18-15</v>
      </c>
      <c r="B118" s="6" t="s">
        <v>59</v>
      </c>
      <c r="C118">
        <v>15</v>
      </c>
      <c r="D118" t="s">
        <v>52</v>
      </c>
      <c r="E118" s="24">
        <v>15</v>
      </c>
      <c r="F118" s="24" t="s">
        <v>53</v>
      </c>
      <c r="G118" s="24">
        <f>SUMIFS($E$4:$E118,$D$4:$D118,$D118,$B$4:$B118,$B118)</f>
        <v>83</v>
      </c>
      <c r="H118" s="24"/>
      <c r="I118" s="24"/>
      <c r="J118" s="24"/>
      <c r="K118" s="24"/>
    </row>
    <row r="119" spans="1:11" x14ac:dyDescent="0.3">
      <c r="A119" t="str">
        <f>B119&amp;"-"&amp;C119</f>
        <v>Game 07.27.18-16</v>
      </c>
      <c r="B119" s="6" t="s">
        <v>59</v>
      </c>
      <c r="C119">
        <v>16</v>
      </c>
      <c r="D119" t="s">
        <v>2</v>
      </c>
      <c r="E119" s="24">
        <v>35</v>
      </c>
      <c r="F119" s="24" t="s">
        <v>53</v>
      </c>
      <c r="G119" s="24">
        <f>SUMIFS($E$4:$E119,$D$4:$D119,$D119,$B$4:$B119,$B119)</f>
        <v>97</v>
      </c>
      <c r="H119" s="24"/>
      <c r="I119" s="24"/>
      <c r="J119" s="24"/>
      <c r="K119" s="24"/>
    </row>
    <row r="120" spans="1:11" x14ac:dyDescent="0.3">
      <c r="A120" t="str">
        <f>B120&amp;"-"&amp;C120</f>
        <v>Game 07.27.18-17</v>
      </c>
      <c r="B120" s="6" t="s">
        <v>59</v>
      </c>
      <c r="C120">
        <v>17</v>
      </c>
      <c r="D120" t="s">
        <v>3</v>
      </c>
      <c r="E120" s="24">
        <v>12</v>
      </c>
      <c r="F120" s="24" t="s">
        <v>53</v>
      </c>
      <c r="G120" s="24">
        <f>SUMIFS($E$4:$E120,$D$4:$D120,$D120,$B$4:$B120,$B120)</f>
        <v>89</v>
      </c>
      <c r="H120" s="24"/>
      <c r="I120" s="24"/>
      <c r="J120" s="24"/>
      <c r="K120" s="24"/>
    </row>
    <row r="121" spans="1:11" x14ac:dyDescent="0.3">
      <c r="A121" t="str">
        <f>B121&amp;"-"&amp;C121</f>
        <v>Game 07.27.18-18</v>
      </c>
      <c r="B121" s="6" t="s">
        <v>59</v>
      </c>
      <c r="C121">
        <v>18</v>
      </c>
      <c r="D121" t="s">
        <v>51</v>
      </c>
      <c r="E121" s="24">
        <v>26</v>
      </c>
      <c r="F121" s="24" t="s">
        <v>53</v>
      </c>
      <c r="G121" s="24">
        <f>SUMIFS($E$4:$E121,$D$4:$D121,$D121,$B$4:$B121,$B121)</f>
        <v>124</v>
      </c>
      <c r="H121" s="24"/>
      <c r="I121" s="24"/>
      <c r="J121" s="24"/>
      <c r="K121" s="24"/>
    </row>
    <row r="122" spans="1:11" x14ac:dyDescent="0.3">
      <c r="A122" t="str">
        <f>B122&amp;"-"&amp;C122</f>
        <v>Game 07.27.18-19</v>
      </c>
      <c r="B122" s="6" t="s">
        <v>59</v>
      </c>
      <c r="C122">
        <v>19</v>
      </c>
      <c r="D122" t="s">
        <v>52</v>
      </c>
      <c r="E122" s="24">
        <v>10</v>
      </c>
      <c r="F122" s="24" t="s">
        <v>53</v>
      </c>
      <c r="G122" s="24">
        <f>SUMIFS($E$4:$E122,$D$4:$D122,$D122,$B$4:$B122,$B122)</f>
        <v>93</v>
      </c>
      <c r="H122" s="24"/>
      <c r="I122" s="24"/>
      <c r="J122" s="24"/>
      <c r="K122" s="24"/>
    </row>
    <row r="123" spans="1:11" x14ac:dyDescent="0.3">
      <c r="A123" t="str">
        <f>B123&amp;"-"&amp;C123</f>
        <v>Game 07.27.18-20</v>
      </c>
      <c r="B123" s="6" t="s">
        <v>59</v>
      </c>
      <c r="C123">
        <v>20</v>
      </c>
      <c r="D123" t="s">
        <v>2</v>
      </c>
      <c r="E123" s="24">
        <v>22</v>
      </c>
      <c r="F123" s="24" t="s">
        <v>53</v>
      </c>
      <c r="G123" s="24">
        <f>SUMIFS($E$4:$E123,$D$4:$D123,$D123,$B$4:$B123,$B123)</f>
        <v>119</v>
      </c>
      <c r="H123" s="24"/>
      <c r="I123" s="24"/>
      <c r="J123" s="24"/>
      <c r="K123" s="24"/>
    </row>
    <row r="124" spans="1:11" x14ac:dyDescent="0.3">
      <c r="A124" t="str">
        <f>B124&amp;"-"&amp;C124</f>
        <v>Game 07.27.18-21</v>
      </c>
      <c r="B124" s="6" t="s">
        <v>59</v>
      </c>
      <c r="C124">
        <v>21</v>
      </c>
      <c r="D124" t="s">
        <v>3</v>
      </c>
      <c r="E124" s="24">
        <v>29</v>
      </c>
      <c r="F124" s="24" t="s">
        <v>53</v>
      </c>
      <c r="G124" s="24">
        <f>SUMIFS($E$4:$E124,$D$4:$D124,$D124,$B$4:$B124,$B124)</f>
        <v>118</v>
      </c>
      <c r="H124" s="24"/>
      <c r="I124" s="24"/>
      <c r="J124" s="24"/>
      <c r="K124" s="24"/>
    </row>
    <row r="125" spans="1:11" x14ac:dyDescent="0.3">
      <c r="A125" t="str">
        <f>B125&amp;"-"&amp;C125</f>
        <v>Game 07.27.18-22</v>
      </c>
      <c r="B125" s="6" t="s">
        <v>59</v>
      </c>
      <c r="C125">
        <v>22</v>
      </c>
      <c r="D125" t="s">
        <v>51</v>
      </c>
      <c r="E125" s="24">
        <v>20</v>
      </c>
      <c r="F125" s="24" t="s">
        <v>53</v>
      </c>
      <c r="G125" s="24">
        <f>SUMIFS($E$4:$E125,$D$4:$D125,$D125,$B$4:$B125,$B125)</f>
        <v>144</v>
      </c>
      <c r="H125" s="24"/>
      <c r="I125" s="24"/>
      <c r="J125" s="24"/>
      <c r="K125" s="24"/>
    </row>
    <row r="126" spans="1:11" x14ac:dyDescent="0.3">
      <c r="A126" t="str">
        <f>B126&amp;"-"&amp;C126</f>
        <v>Game 07.27.18-23</v>
      </c>
      <c r="B126" s="6" t="s">
        <v>59</v>
      </c>
      <c r="C126">
        <v>23</v>
      </c>
      <c r="D126" t="s">
        <v>52</v>
      </c>
      <c r="E126" s="24">
        <v>36</v>
      </c>
      <c r="F126" s="24" t="s">
        <v>53</v>
      </c>
      <c r="G126" s="24">
        <f>SUMIFS($E$4:$E126,$D$4:$D126,$D126,$B$4:$B126,$B126)</f>
        <v>129</v>
      </c>
      <c r="H126" s="24"/>
      <c r="I126" s="24"/>
      <c r="J126" s="24"/>
      <c r="K126" s="24"/>
    </row>
    <row r="127" spans="1:11" x14ac:dyDescent="0.3">
      <c r="A127" t="str">
        <f>B127&amp;"-"&amp;C127</f>
        <v>Game 07.27.18-24</v>
      </c>
      <c r="B127" s="6" t="s">
        <v>59</v>
      </c>
      <c r="C127">
        <v>24</v>
      </c>
      <c r="D127" t="s">
        <v>2</v>
      </c>
      <c r="E127" s="24">
        <v>12</v>
      </c>
      <c r="F127" s="24" t="s">
        <v>53</v>
      </c>
      <c r="G127" s="24">
        <f>SUMIFS($E$4:$E127,$D$4:$D127,$D127,$B$4:$B127,$B127)</f>
        <v>131</v>
      </c>
      <c r="H127" s="24"/>
      <c r="I127" s="24"/>
      <c r="J127" s="24"/>
      <c r="K127" s="24"/>
    </row>
    <row r="128" spans="1:11" x14ac:dyDescent="0.3">
      <c r="A128" t="str">
        <f>B128&amp;"-"&amp;C128</f>
        <v>Game 07.27.18-25</v>
      </c>
      <c r="B128" s="6" t="s">
        <v>59</v>
      </c>
      <c r="C128">
        <v>25</v>
      </c>
      <c r="D128" t="s">
        <v>3</v>
      </c>
      <c r="E128" s="24">
        <v>15</v>
      </c>
      <c r="F128" s="24" t="s">
        <v>53</v>
      </c>
      <c r="G128" s="24">
        <f>SUMIFS($E$4:$E128,$D$4:$D128,$D128,$B$4:$B128,$B128)</f>
        <v>133</v>
      </c>
      <c r="H128" s="24"/>
      <c r="I128" s="24"/>
      <c r="J128" s="24"/>
      <c r="K128" s="24"/>
    </row>
    <row r="129" spans="1:11" x14ac:dyDescent="0.3">
      <c r="A129" t="str">
        <f>B129&amp;"-"&amp;C129</f>
        <v>Game 07.27.18-26</v>
      </c>
      <c r="B129" s="6" t="s">
        <v>59</v>
      </c>
      <c r="C129">
        <v>26</v>
      </c>
      <c r="D129" t="s">
        <v>51</v>
      </c>
      <c r="E129" s="24">
        <v>29</v>
      </c>
      <c r="F129" s="24" t="s">
        <v>53</v>
      </c>
      <c r="G129" s="24">
        <f>SUMIFS($E$4:$E129,$D$4:$D129,$D129,$B$4:$B129,$B129)</f>
        <v>173</v>
      </c>
      <c r="H129" s="24"/>
      <c r="I129" s="24"/>
      <c r="J129" s="24"/>
      <c r="K129" s="24"/>
    </row>
    <row r="130" spans="1:11" x14ac:dyDescent="0.3">
      <c r="A130" t="str">
        <f>B130&amp;"-"&amp;C130</f>
        <v>Game 07.27.18-27</v>
      </c>
      <c r="B130" s="6" t="s">
        <v>59</v>
      </c>
      <c r="C130">
        <v>27</v>
      </c>
      <c r="D130" t="s">
        <v>52</v>
      </c>
      <c r="E130" s="24">
        <v>25</v>
      </c>
      <c r="F130" s="24" t="s">
        <v>53</v>
      </c>
      <c r="G130" s="24">
        <f>SUMIFS($E$4:$E130,$D$4:$D130,$D130,$B$4:$B130,$B130)</f>
        <v>154</v>
      </c>
      <c r="H130" s="24"/>
      <c r="I130" s="24"/>
      <c r="J130" s="24"/>
      <c r="K130" s="24"/>
    </row>
    <row r="131" spans="1:11" x14ac:dyDescent="0.3">
      <c r="A131" t="str">
        <f>B131&amp;"-"&amp;C131</f>
        <v>Game 07.27.18-28</v>
      </c>
      <c r="B131" s="6" t="s">
        <v>59</v>
      </c>
      <c r="C131">
        <v>28</v>
      </c>
      <c r="D131" t="s">
        <v>2</v>
      </c>
      <c r="E131" s="24">
        <v>11</v>
      </c>
      <c r="F131" s="24" t="s">
        <v>53</v>
      </c>
      <c r="G131" s="24">
        <f>SUMIFS($E$4:$E131,$D$4:$D131,$D131,$B$4:$B131,$B131)</f>
        <v>142</v>
      </c>
      <c r="H131" s="24"/>
      <c r="I131" s="24"/>
      <c r="J131" s="24"/>
      <c r="K131" s="24"/>
    </row>
    <row r="132" spans="1:11" x14ac:dyDescent="0.3">
      <c r="A132" t="str">
        <f>B132&amp;"-"&amp;C132</f>
        <v>Game 07.27.18-29</v>
      </c>
      <c r="B132" s="6" t="s">
        <v>59</v>
      </c>
      <c r="C132">
        <v>29</v>
      </c>
      <c r="D132" t="s">
        <v>3</v>
      </c>
      <c r="E132" s="24">
        <v>36</v>
      </c>
      <c r="F132" s="24" t="s">
        <v>53</v>
      </c>
      <c r="G132" s="24">
        <f>SUMIFS($E$4:$E132,$D$4:$D132,$D132,$B$4:$B132,$B132)</f>
        <v>169</v>
      </c>
      <c r="H132" s="24"/>
      <c r="I132" s="24"/>
      <c r="J132" s="24"/>
      <c r="K132" s="24"/>
    </row>
    <row r="133" spans="1:11" x14ac:dyDescent="0.3">
      <c r="A133" t="str">
        <f>B133&amp;"-"&amp;C133</f>
        <v>Game 07.27.18-30</v>
      </c>
      <c r="B133" s="6" t="s">
        <v>59</v>
      </c>
      <c r="C133">
        <v>30</v>
      </c>
      <c r="D133" t="s">
        <v>51</v>
      </c>
      <c r="E133" s="24">
        <v>12</v>
      </c>
      <c r="F133" s="24" t="s">
        <v>53</v>
      </c>
      <c r="G133" s="24">
        <f>SUMIFS($E$4:$E133,$D$4:$D133,$D133,$B$4:$B133,$B133)</f>
        <v>185</v>
      </c>
      <c r="H133" s="24"/>
      <c r="I133" s="24"/>
      <c r="J133" s="24"/>
      <c r="K133" s="24"/>
    </row>
    <row r="134" spans="1:11" x14ac:dyDescent="0.3">
      <c r="A134" t="str">
        <f>B134&amp;"-"&amp;C134</f>
        <v>Game 07.27.18-31</v>
      </c>
      <c r="B134" s="6" t="s">
        <v>59</v>
      </c>
      <c r="C134">
        <v>31</v>
      </c>
      <c r="D134" t="s">
        <v>52</v>
      </c>
      <c r="E134" s="24">
        <v>16</v>
      </c>
      <c r="F134" s="24" t="s">
        <v>53</v>
      </c>
      <c r="G134" s="24">
        <f>SUMIFS($E$4:$E134,$D$4:$D134,$D134,$B$4:$B134,$B134)</f>
        <v>170</v>
      </c>
      <c r="H134" s="24"/>
      <c r="I134" s="24"/>
      <c r="J134" s="24"/>
      <c r="K134" s="24"/>
    </row>
    <row r="135" spans="1:11" x14ac:dyDescent="0.3">
      <c r="A135" t="str">
        <f>B135&amp;"-"&amp;C135</f>
        <v>Game 07.27.18-32</v>
      </c>
      <c r="B135" s="6" t="s">
        <v>59</v>
      </c>
      <c r="C135">
        <v>32</v>
      </c>
      <c r="D135" t="s">
        <v>2</v>
      </c>
      <c r="E135" s="24">
        <v>19</v>
      </c>
      <c r="F135" s="24" t="s">
        <v>53</v>
      </c>
      <c r="G135" s="24">
        <f>SUMIFS($E$4:$E135,$D$4:$D135,$D135,$B$4:$B135,$B135)</f>
        <v>161</v>
      </c>
      <c r="H135" s="24"/>
      <c r="I135" s="24"/>
      <c r="J135" s="24"/>
      <c r="K135" s="24"/>
    </row>
    <row r="136" spans="1:11" x14ac:dyDescent="0.3">
      <c r="A136" t="str">
        <f>B136&amp;"-"&amp;C136</f>
        <v>Game 07.27.18-33</v>
      </c>
      <c r="B136" s="6" t="s">
        <v>59</v>
      </c>
      <c r="C136">
        <v>33</v>
      </c>
      <c r="D136" t="s">
        <v>3</v>
      </c>
      <c r="E136" s="24">
        <v>-1</v>
      </c>
      <c r="F136" s="24" t="s">
        <v>54</v>
      </c>
      <c r="G136" s="24">
        <f>SUMIFS($E$4:$E136,$D$4:$D136,$D136,$B$4:$B136,$B136)</f>
        <v>168</v>
      </c>
      <c r="H136" s="24"/>
      <c r="I136" s="24"/>
      <c r="J136" s="24"/>
      <c r="K136" s="24"/>
    </row>
    <row r="137" spans="1:11" x14ac:dyDescent="0.3">
      <c r="A137" t="str">
        <f>B137&amp;"-"&amp;C137</f>
        <v>Game 07.27.18-34</v>
      </c>
      <c r="B137" s="6" t="s">
        <v>59</v>
      </c>
      <c r="C137">
        <v>34</v>
      </c>
      <c r="D137" t="s">
        <v>51</v>
      </c>
      <c r="E137" s="24">
        <v>-2</v>
      </c>
      <c r="F137" s="24" t="s">
        <v>54</v>
      </c>
      <c r="G137" s="24">
        <f>SUMIFS($E$4:$E137,$D$4:$D137,$D137,$B$4:$B137,$B137)</f>
        <v>183</v>
      </c>
      <c r="H137" s="24"/>
      <c r="I137" s="24"/>
      <c r="J137" s="24"/>
      <c r="K137" s="24"/>
    </row>
    <row r="138" spans="1:11" x14ac:dyDescent="0.3">
      <c r="A138" t="str">
        <f>B138&amp;"-"&amp;C138</f>
        <v>Game 07.27.18-35</v>
      </c>
      <c r="B138" s="6" t="s">
        <v>59</v>
      </c>
      <c r="C138">
        <v>35</v>
      </c>
      <c r="D138" t="s">
        <v>52</v>
      </c>
      <c r="E138" s="24">
        <v>-3</v>
      </c>
      <c r="F138" s="24" t="s">
        <v>54</v>
      </c>
      <c r="G138" s="24">
        <f>SUMIFS($E$4:$E138,$D$4:$D138,$D138,$B$4:$B138,$B138)</f>
        <v>167</v>
      </c>
      <c r="H138" s="24"/>
      <c r="I138" s="24"/>
      <c r="J138" s="24"/>
      <c r="K138" s="24"/>
    </row>
  </sheetData>
  <mergeCells count="1">
    <mergeCell ref="A2:K2"/>
  </mergeCells>
  <conditionalFormatting sqref="H5:H68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H4">
    <cfRule type="cellIs" dxfId="2" priority="3" operator="greaterThan">
      <formula>0</formula>
    </cfRule>
  </conditionalFormatting>
  <conditionalFormatting sqref="H4:H138">
    <cfRule type="containsText" dxfId="1" priority="2" operator="containsText" text=" ">
      <formula>NOT(ISERROR(SEARCH(" ",H4)))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roger</cp:lastModifiedBy>
  <dcterms:created xsi:type="dcterms:W3CDTF">2018-07-15T23:20:19Z</dcterms:created>
  <dcterms:modified xsi:type="dcterms:W3CDTF">2018-10-03T18:57:23Z</dcterms:modified>
</cp:coreProperties>
</file>